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9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7rac\OneDrive\Documents\Butler\School\Year 3 - Junior\Semester 6\SE463\Assignment 11 - Rachel Burke\"/>
    </mc:Choice>
  </mc:AlternateContent>
  <xr:revisionPtr revIDLastSave="0" documentId="13_ncr:1_{BC4D74A0-D910-4C23-B10A-E5A0E963D6CF}" xr6:coauthVersionLast="28" xr6:coauthVersionMax="28" xr10:uidLastSave="{00000000-0000-0000-0000-000000000000}"/>
  <bookViews>
    <workbookView xWindow="0" yWindow="0" windowWidth="20490" windowHeight="6930" tabRatio="833" firstSheet="9" activeTab="10" xr2:uid="{1A55FB28-96C2-4FA1-8DFB-994AACA0B4DD}"/>
  </bookViews>
  <sheets>
    <sheet name="DD-Path Graph &amp; Instrumentation" sheetId="2" r:id="rId1"/>
    <sheet name="Normal BVT" sheetId="1" r:id="rId2"/>
    <sheet name="Robust BVT" sheetId="3" r:id="rId3"/>
    <sheet name="Worst-Case BVT" sheetId="4" r:id="rId4"/>
    <sheet name="Robust Worst-Case BVT" sheetId="5" r:id="rId5"/>
    <sheet name="Weak Normal ECT" sheetId="7" r:id="rId6"/>
    <sheet name="Strong Normal ECT" sheetId="8" r:id="rId7"/>
    <sheet name="Weak Robust ECT" sheetId="9" r:id="rId8"/>
    <sheet name="Strong Robust ECT" sheetId="10" r:id="rId9"/>
    <sheet name="Decision Table Test" sheetId="12" r:id="rId10"/>
    <sheet name="Special Value Test" sheetId="13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3" i="13" l="1"/>
  <c r="U15" i="12"/>
  <c r="U23" i="10"/>
  <c r="U13" i="9"/>
  <c r="U9" i="8"/>
  <c r="U9" i="7"/>
  <c r="U54" i="5"/>
  <c r="U30" i="4"/>
  <c r="U18" i="3"/>
  <c r="U14" i="1"/>
  <c r="T14" i="1"/>
  <c r="D28" i="5"/>
  <c r="D27" i="5"/>
  <c r="D26" i="5"/>
  <c r="D16" i="4"/>
  <c r="D15" i="4"/>
  <c r="D14" i="4"/>
  <c r="D9" i="3"/>
  <c r="D8" i="3"/>
  <c r="D8" i="1"/>
  <c r="D6" i="1"/>
  <c r="D7" i="1"/>
  <c r="V13" i="9" l="1"/>
  <c r="V9" i="8"/>
  <c r="V9" i="7"/>
  <c r="V12" i="1"/>
  <c r="V11" i="1"/>
  <c r="V10" i="1"/>
  <c r="V9" i="1"/>
  <c r="V8" i="1"/>
  <c r="V7" i="1"/>
  <c r="V6" i="1"/>
  <c r="V5" i="1"/>
  <c r="V4" i="1"/>
  <c r="V14" i="3"/>
  <c r="V15" i="3"/>
  <c r="V16" i="3"/>
  <c r="V13" i="3"/>
  <c r="V12" i="3"/>
  <c r="V11" i="3"/>
  <c r="V10" i="3"/>
  <c r="V9" i="3"/>
  <c r="V8" i="3"/>
  <c r="V7" i="3"/>
  <c r="V6" i="3"/>
  <c r="V5" i="3"/>
  <c r="V4" i="3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13" i="4"/>
  <c r="V12" i="4"/>
  <c r="V11" i="4"/>
  <c r="V10" i="4"/>
  <c r="V9" i="4"/>
  <c r="V8" i="4"/>
  <c r="V7" i="4"/>
  <c r="V6" i="4"/>
  <c r="V5" i="4"/>
  <c r="V4" i="4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13" i="5"/>
  <c r="V12" i="5"/>
  <c r="V11" i="5"/>
  <c r="V10" i="5"/>
  <c r="V9" i="5"/>
  <c r="V8" i="5"/>
  <c r="V7" i="5"/>
  <c r="V6" i="5"/>
  <c r="V5" i="5"/>
  <c r="V4" i="5"/>
  <c r="V7" i="7"/>
  <c r="V6" i="7"/>
  <c r="V5" i="7"/>
  <c r="V4" i="7"/>
  <c r="V7" i="8"/>
  <c r="V6" i="8"/>
  <c r="V5" i="8"/>
  <c r="V4" i="8"/>
  <c r="V11" i="9"/>
  <c r="V10" i="9"/>
  <c r="V9" i="9"/>
  <c r="V8" i="9"/>
  <c r="V7" i="9"/>
  <c r="V6" i="9"/>
  <c r="V5" i="9"/>
  <c r="V4" i="9"/>
  <c r="V14" i="10"/>
  <c r="V15" i="10"/>
  <c r="V16" i="10"/>
  <c r="V17" i="10"/>
  <c r="V18" i="10"/>
  <c r="V19" i="10"/>
  <c r="V20" i="10"/>
  <c r="V21" i="10"/>
  <c r="V13" i="10"/>
  <c r="V12" i="10"/>
  <c r="V11" i="10"/>
  <c r="V10" i="10"/>
  <c r="V9" i="10"/>
  <c r="V8" i="10"/>
  <c r="V7" i="10"/>
  <c r="V6" i="10"/>
  <c r="V5" i="10"/>
  <c r="V4" i="10"/>
  <c r="V12" i="12"/>
  <c r="V13" i="12"/>
  <c r="V15" i="12"/>
  <c r="V11" i="12"/>
  <c r="V10" i="12"/>
  <c r="V9" i="12"/>
  <c r="V8" i="12"/>
  <c r="V7" i="12"/>
  <c r="V6" i="12"/>
  <c r="V5" i="12"/>
  <c r="V4" i="12"/>
  <c r="V13" i="13"/>
  <c r="V5" i="13"/>
  <c r="V6" i="13"/>
  <c r="V7" i="13"/>
  <c r="V8" i="13"/>
  <c r="V9" i="13"/>
  <c r="V10" i="13"/>
  <c r="V11" i="13"/>
  <c r="V4" i="13"/>
  <c r="T11" i="13"/>
  <c r="T10" i="13"/>
  <c r="T9" i="13"/>
  <c r="T8" i="13"/>
  <c r="T7" i="13"/>
  <c r="T6" i="13"/>
  <c r="T5" i="13"/>
  <c r="T4" i="13"/>
  <c r="T8" i="12"/>
  <c r="T9" i="12"/>
  <c r="T10" i="12"/>
  <c r="T11" i="12"/>
  <c r="T12" i="12"/>
  <c r="T13" i="12"/>
  <c r="T7" i="12"/>
  <c r="T6" i="12"/>
  <c r="T5" i="12"/>
  <c r="T4" i="12"/>
  <c r="T8" i="9"/>
  <c r="T9" i="9"/>
  <c r="T10" i="9"/>
  <c r="T11" i="9"/>
  <c r="T7" i="9"/>
  <c r="T6" i="9"/>
  <c r="T5" i="9"/>
  <c r="T4" i="9"/>
  <c r="T9" i="8"/>
  <c r="S9" i="8"/>
  <c r="S7" i="8"/>
  <c r="T7" i="8" s="1"/>
  <c r="T6" i="8"/>
  <c r="S6" i="8"/>
  <c r="S5" i="8"/>
  <c r="T5" i="8" s="1"/>
  <c r="T4" i="8"/>
  <c r="S4" i="8"/>
  <c r="T7" i="7"/>
  <c r="T6" i="7"/>
  <c r="T5" i="7"/>
  <c r="T4" i="7"/>
  <c r="T9" i="7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16" i="5"/>
  <c r="T15" i="5"/>
  <c r="T14" i="5"/>
  <c r="T13" i="5"/>
  <c r="T12" i="5"/>
  <c r="T11" i="5"/>
  <c r="T10" i="5"/>
  <c r="T9" i="5"/>
  <c r="T8" i="5"/>
  <c r="T7" i="5"/>
  <c r="T6" i="5"/>
  <c r="T5" i="5"/>
  <c r="T4" i="5"/>
  <c r="T17" i="4"/>
  <c r="T18" i="4"/>
  <c r="T19" i="4"/>
  <c r="T20" i="4"/>
  <c r="T21" i="4"/>
  <c r="T22" i="4"/>
  <c r="T23" i="4"/>
  <c r="T24" i="4"/>
  <c r="T25" i="4"/>
  <c r="T26" i="4"/>
  <c r="T27" i="4"/>
  <c r="T28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5" i="3"/>
  <c r="T6" i="3"/>
  <c r="T7" i="3"/>
  <c r="T8" i="3"/>
  <c r="T9" i="3"/>
  <c r="T10" i="3"/>
  <c r="T11" i="3"/>
  <c r="T12" i="3"/>
  <c r="T13" i="3"/>
  <c r="T14" i="3"/>
  <c r="T15" i="3"/>
  <c r="T16" i="3"/>
  <c r="T4" i="3"/>
  <c r="T13" i="13"/>
  <c r="T15" i="12"/>
  <c r="T13" i="9"/>
  <c r="T5" i="1"/>
  <c r="T6" i="1"/>
  <c r="T7" i="1"/>
  <c r="T8" i="1"/>
  <c r="T9" i="1"/>
  <c r="T10" i="1"/>
  <c r="T11" i="1"/>
  <c r="T12" i="1"/>
  <c r="T4" i="1"/>
  <c r="S14" i="10"/>
  <c r="T14" i="10" s="1"/>
  <c r="S15" i="10"/>
  <c r="T15" i="10" s="1"/>
  <c r="S16" i="10"/>
  <c r="T16" i="10" s="1"/>
  <c r="S17" i="10"/>
  <c r="T17" i="10" s="1"/>
  <c r="S18" i="10"/>
  <c r="T18" i="10" s="1"/>
  <c r="S19" i="10"/>
  <c r="T19" i="10" s="1"/>
  <c r="S20" i="10"/>
  <c r="T20" i="10" s="1"/>
  <c r="S21" i="10"/>
  <c r="T21" i="10" s="1"/>
  <c r="S13" i="9"/>
  <c r="S9" i="7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14" i="3"/>
  <c r="S15" i="3"/>
  <c r="S16" i="3"/>
  <c r="S12" i="1"/>
  <c r="S11" i="1"/>
  <c r="S10" i="1"/>
  <c r="S9" i="1"/>
  <c r="S8" i="1"/>
  <c r="S7" i="1"/>
  <c r="S6" i="1"/>
  <c r="S5" i="1"/>
  <c r="S4" i="1"/>
  <c r="S13" i="3"/>
  <c r="S12" i="3"/>
  <c r="S11" i="3"/>
  <c r="S10" i="3"/>
  <c r="S9" i="3"/>
  <c r="S8" i="3"/>
  <c r="S7" i="3"/>
  <c r="S6" i="3"/>
  <c r="S5" i="3"/>
  <c r="S4" i="3"/>
  <c r="S13" i="4"/>
  <c r="S12" i="4"/>
  <c r="S11" i="4"/>
  <c r="S10" i="4"/>
  <c r="S9" i="4"/>
  <c r="S8" i="4"/>
  <c r="S7" i="4"/>
  <c r="S6" i="4"/>
  <c r="S5" i="4"/>
  <c r="S4" i="4"/>
  <c r="S13" i="5"/>
  <c r="S12" i="5"/>
  <c r="S11" i="5"/>
  <c r="S10" i="5"/>
  <c r="S9" i="5"/>
  <c r="S8" i="5"/>
  <c r="S7" i="5"/>
  <c r="S6" i="5"/>
  <c r="S5" i="5"/>
  <c r="S4" i="5"/>
  <c r="S7" i="7"/>
  <c r="S6" i="7"/>
  <c r="S5" i="7"/>
  <c r="S4" i="7"/>
  <c r="S11" i="9"/>
  <c r="S10" i="9"/>
  <c r="S9" i="9"/>
  <c r="S8" i="9"/>
  <c r="S7" i="9"/>
  <c r="S6" i="9"/>
  <c r="S5" i="9"/>
  <c r="S4" i="9"/>
  <c r="S13" i="10"/>
  <c r="T13" i="10" s="1"/>
  <c r="S12" i="10"/>
  <c r="T12" i="10" s="1"/>
  <c r="S11" i="10"/>
  <c r="T11" i="10" s="1"/>
  <c r="S10" i="10"/>
  <c r="T10" i="10" s="1"/>
  <c r="S9" i="10"/>
  <c r="T9" i="10" s="1"/>
  <c r="S8" i="10"/>
  <c r="T8" i="10" s="1"/>
  <c r="S7" i="10"/>
  <c r="T7" i="10" s="1"/>
  <c r="S6" i="10"/>
  <c r="T6" i="10" s="1"/>
  <c r="S5" i="10"/>
  <c r="T5" i="10" s="1"/>
  <c r="S4" i="10"/>
  <c r="T4" i="10" s="1"/>
  <c r="S15" i="12"/>
  <c r="S5" i="12"/>
  <c r="S6" i="12"/>
  <c r="S7" i="12"/>
  <c r="S8" i="12"/>
  <c r="S9" i="12"/>
  <c r="S10" i="12"/>
  <c r="S11" i="12"/>
  <c r="S12" i="12"/>
  <c r="S13" i="12"/>
  <c r="S4" i="12"/>
  <c r="S13" i="13"/>
  <c r="S5" i="13"/>
  <c r="S6" i="13"/>
  <c r="S7" i="13"/>
  <c r="S8" i="13"/>
  <c r="S9" i="13"/>
  <c r="S10" i="13"/>
  <c r="S11" i="13"/>
  <c r="S4" i="13"/>
  <c r="H13" i="13"/>
  <c r="I13" i="13"/>
  <c r="J13" i="13"/>
  <c r="K13" i="13"/>
  <c r="L13" i="13"/>
  <c r="M13" i="13"/>
  <c r="N13" i="13"/>
  <c r="O13" i="13"/>
  <c r="P13" i="13"/>
  <c r="Q13" i="13"/>
  <c r="R13" i="13"/>
  <c r="G13" i="13"/>
  <c r="H15" i="12"/>
  <c r="I15" i="12"/>
  <c r="J15" i="12"/>
  <c r="K15" i="12"/>
  <c r="L15" i="12"/>
  <c r="M15" i="12"/>
  <c r="N15" i="12"/>
  <c r="O15" i="12"/>
  <c r="P15" i="12"/>
  <c r="Q15" i="12"/>
  <c r="R15" i="12"/>
  <c r="G15" i="12"/>
  <c r="H23" i="10"/>
  <c r="I23" i="10"/>
  <c r="J23" i="10"/>
  <c r="K23" i="10"/>
  <c r="L23" i="10"/>
  <c r="M23" i="10"/>
  <c r="N23" i="10"/>
  <c r="O23" i="10"/>
  <c r="P23" i="10"/>
  <c r="Q23" i="10"/>
  <c r="R23" i="10"/>
  <c r="V23" i="10" s="1"/>
  <c r="G23" i="10"/>
  <c r="H13" i="9"/>
  <c r="I13" i="9"/>
  <c r="J13" i="9"/>
  <c r="K13" i="9"/>
  <c r="L13" i="9"/>
  <c r="M13" i="9"/>
  <c r="N13" i="9"/>
  <c r="O13" i="9"/>
  <c r="P13" i="9"/>
  <c r="Q13" i="9"/>
  <c r="R13" i="9"/>
  <c r="G13" i="9"/>
  <c r="H9" i="8"/>
  <c r="I9" i="8"/>
  <c r="J9" i="8"/>
  <c r="K9" i="8"/>
  <c r="L9" i="8"/>
  <c r="M9" i="8"/>
  <c r="N9" i="8"/>
  <c r="O9" i="8"/>
  <c r="P9" i="8"/>
  <c r="Q9" i="8"/>
  <c r="R9" i="8"/>
  <c r="G9" i="8"/>
  <c r="H9" i="7"/>
  <c r="I9" i="7"/>
  <c r="J9" i="7"/>
  <c r="K9" i="7"/>
  <c r="L9" i="7"/>
  <c r="M9" i="7"/>
  <c r="N9" i="7"/>
  <c r="O9" i="7"/>
  <c r="P9" i="7"/>
  <c r="Q9" i="7"/>
  <c r="R9" i="7"/>
  <c r="G9" i="7"/>
  <c r="H54" i="5"/>
  <c r="I54" i="5"/>
  <c r="J54" i="5"/>
  <c r="K54" i="5"/>
  <c r="L54" i="5"/>
  <c r="M54" i="5"/>
  <c r="N54" i="5"/>
  <c r="O54" i="5"/>
  <c r="P54" i="5"/>
  <c r="Q54" i="5"/>
  <c r="R54" i="5"/>
  <c r="V54" i="5" s="1"/>
  <c r="G54" i="5"/>
  <c r="H30" i="4"/>
  <c r="I30" i="4"/>
  <c r="J30" i="4"/>
  <c r="K30" i="4"/>
  <c r="L30" i="4"/>
  <c r="M30" i="4"/>
  <c r="N30" i="4"/>
  <c r="O30" i="4"/>
  <c r="P30" i="4"/>
  <c r="Q30" i="4"/>
  <c r="R30" i="4"/>
  <c r="V30" i="4" s="1"/>
  <c r="G30" i="4"/>
  <c r="H18" i="3"/>
  <c r="I18" i="3"/>
  <c r="J18" i="3"/>
  <c r="K18" i="3"/>
  <c r="L18" i="3"/>
  <c r="M18" i="3"/>
  <c r="N18" i="3"/>
  <c r="O18" i="3"/>
  <c r="P18" i="3"/>
  <c r="Q18" i="3"/>
  <c r="R18" i="3"/>
  <c r="V18" i="3" s="1"/>
  <c r="G18" i="3"/>
  <c r="H14" i="1"/>
  <c r="I14" i="1"/>
  <c r="J14" i="1"/>
  <c r="K14" i="1"/>
  <c r="L14" i="1"/>
  <c r="M14" i="1"/>
  <c r="N14" i="1"/>
  <c r="O14" i="1"/>
  <c r="P14" i="1"/>
  <c r="Q14" i="1"/>
  <c r="R14" i="1"/>
  <c r="V14" i="1" s="1"/>
  <c r="G14" i="1"/>
  <c r="D7" i="13"/>
  <c r="D6" i="13"/>
  <c r="D5" i="13"/>
  <c r="D4" i="13"/>
  <c r="D10" i="12"/>
  <c r="D8" i="12"/>
  <c r="D6" i="12"/>
  <c r="D4" i="12"/>
  <c r="D17" i="10"/>
  <c r="D14" i="10"/>
  <c r="D11" i="10"/>
  <c r="D8" i="10"/>
  <c r="D9" i="9"/>
  <c r="D8" i="9"/>
  <c r="D7" i="9"/>
  <c r="D6" i="9"/>
  <c r="D7" i="8"/>
  <c r="D6" i="8"/>
  <c r="D5" i="8"/>
  <c r="D4" i="8"/>
  <c r="D7" i="7"/>
  <c r="D6" i="7"/>
  <c r="D5" i="7"/>
  <c r="D4" i="7"/>
  <c r="D33" i="5"/>
  <c r="D34" i="5"/>
  <c r="D35" i="5"/>
  <c r="D36" i="5"/>
  <c r="D37" i="5"/>
  <c r="D40" i="5"/>
  <c r="D41" i="5"/>
  <c r="D42" i="5"/>
  <c r="D43" i="5"/>
  <c r="D44" i="5"/>
  <c r="D29" i="5"/>
  <c r="D30" i="5"/>
  <c r="D12" i="5"/>
  <c r="D13" i="5"/>
  <c r="D14" i="5"/>
  <c r="D15" i="5"/>
  <c r="D16" i="5"/>
  <c r="D19" i="5"/>
  <c r="D20" i="5"/>
  <c r="D21" i="5"/>
  <c r="D22" i="5"/>
  <c r="D23" i="5"/>
  <c r="D20" i="4"/>
  <c r="D21" i="4"/>
  <c r="D22" i="4"/>
  <c r="D23" i="4"/>
  <c r="D24" i="4"/>
  <c r="D25" i="4"/>
  <c r="D26" i="4"/>
  <c r="D27" i="4"/>
  <c r="D28" i="4"/>
  <c r="D19" i="4"/>
  <c r="D17" i="4"/>
  <c r="D18" i="4"/>
  <c r="D5" i="4"/>
  <c r="D6" i="4"/>
  <c r="D7" i="4"/>
  <c r="D8" i="4"/>
  <c r="D9" i="4"/>
  <c r="D10" i="4"/>
  <c r="D11" i="4"/>
  <c r="D12" i="4"/>
  <c r="D13" i="4"/>
  <c r="D4" i="4"/>
  <c r="D15" i="3"/>
  <c r="D14" i="3"/>
  <c r="D10" i="3"/>
  <c r="D11" i="3"/>
  <c r="D12" i="3"/>
  <c r="D6" i="3"/>
  <c r="D5" i="3"/>
  <c r="D12" i="1"/>
  <c r="D11" i="1"/>
  <c r="D9" i="1"/>
  <c r="D10" i="1"/>
  <c r="D5" i="1"/>
  <c r="D4" i="1"/>
  <c r="T54" i="5" l="1"/>
  <c r="S54" i="5"/>
  <c r="T30" i="4"/>
  <c r="S30" i="4"/>
  <c r="T18" i="3"/>
  <c r="S18" i="3"/>
  <c r="S14" i="1"/>
  <c r="T23" i="10"/>
  <c r="S23" i="10"/>
</calcChain>
</file>

<file path=xl/sharedStrings.xml><?xml version="1.0" encoding="utf-8"?>
<sst xmlns="http://schemas.openxmlformats.org/spreadsheetml/2006/main" count="1243" uniqueCount="141">
  <si>
    <t>Case #</t>
  </si>
  <si>
    <t>Expected</t>
  </si>
  <si>
    <t>Computed</t>
  </si>
  <si>
    <t>Pass/Fail</t>
  </si>
  <si>
    <t>DD-1</t>
  </si>
  <si>
    <t>DD-2</t>
  </si>
  <si>
    <t>DD-3</t>
  </si>
  <si>
    <t>DD-4</t>
  </si>
  <si>
    <t>DD-5</t>
  </si>
  <si>
    <t>DD-6</t>
  </si>
  <si>
    <t>DD-7</t>
  </si>
  <si>
    <t>DD-8</t>
  </si>
  <si>
    <t>DD-9</t>
  </si>
  <si>
    <t>DD-10</t>
  </si>
  <si>
    <t>DD-11</t>
  </si>
  <si>
    <t>DD-12</t>
  </si>
  <si>
    <t>pass</t>
  </si>
  <si>
    <t>invalid</t>
  </si>
  <si>
    <t>Shipping Charges Calculator</t>
  </si>
  <si>
    <t xml:space="preserve">Weight </t>
  </si>
  <si>
    <t>Mileage</t>
  </si>
  <si>
    <t>Do While Cells(rowIndex, 1) &lt;&gt; 9999</t>
  </si>
  <si>
    <t xml:space="preserve">    Else</t>
  </si>
  <si>
    <t xml:space="preserve">    End If</t>
  </si>
  <si>
    <t>Private Sub CommandButton1_Click()</t>
  </si>
  <si>
    <t>Dim mileage, weight, shiprate As Double</t>
  </si>
  <si>
    <t>Dim totalCost As Double</t>
  </si>
  <si>
    <t>Dim rowIndex As Integer</t>
  </si>
  <si>
    <t>rowIndex = 4</t>
  </si>
  <si>
    <t xml:space="preserve">    mileage = Cells(rowIndex, 3)</t>
  </si>
  <si>
    <t xml:space="preserve">    weight = Cells(rowIndex, 2)</t>
  </si>
  <si>
    <t xml:space="preserve">    </t>
  </si>
  <si>
    <t xml:space="preserve">    ' DD-Path 1</t>
  </si>
  <si>
    <t xml:space="preserve">    Cells(rowIndex, 7) = 1</t>
  </si>
  <si>
    <t xml:space="preserve">    If mileage &gt;= 5 And mileage &lt;= 1000 Then    'If 1</t>
  </si>
  <si>
    <t xml:space="preserve">        ' DD-Path 2</t>
  </si>
  <si>
    <t xml:space="preserve">        Cells(rowIndex, 8) = 1</t>
  </si>
  <si>
    <t xml:space="preserve">        </t>
  </si>
  <si>
    <t xml:space="preserve">      'Case 1</t>
  </si>
  <si>
    <t xml:space="preserve">        If weight &gt;= 0 And weight &lt;= 2 Then     'If 2</t>
  </si>
  <si>
    <t xml:space="preserve">           ' DD-Path 3</t>
  </si>
  <si>
    <t xml:space="preserve">            Cells(rowIndex, 9) = 1</t>
  </si>
  <si>
    <t xml:space="preserve">            shiprate = 0.01</t>
  </si>
  <si>
    <t xml:space="preserve">            totalCost = shiprate * mileage</t>
  </si>
  <si>
    <t xml:space="preserve">            Cells(rowIndex, 5) = totalCost</t>
  </si>
  <si>
    <t xml:space="preserve">        Else</t>
  </si>
  <si>
    <t xml:space="preserve">            ' DD-Path 4</t>
  </si>
  <si>
    <t xml:space="preserve">            Cells(rowIndex, 10) = 1</t>
  </si>
  <si>
    <t xml:space="preserve">            'Case 2</t>
  </si>
  <si>
    <t xml:space="preserve">            If weight &gt; 2 And weight &lt;= 6 Then      'If 3</t>
  </si>
  <si>
    <t xml:space="preserve">                ' DD-Path 5</t>
  </si>
  <si>
    <t xml:space="preserve">                Cells(rowIndex, 11) = 1</t>
  </si>
  <si>
    <t xml:space="preserve">                shiprate = 0.015</t>
  </si>
  <si>
    <t xml:space="preserve">                totalCost = shiprate * mileage</t>
  </si>
  <si>
    <t xml:space="preserve">                Cells(rowIndex, 5) = totalCost</t>
  </si>
  <si>
    <t xml:space="preserve">             Else</t>
  </si>
  <si>
    <t xml:space="preserve">                'DD-Path 6</t>
  </si>
  <si>
    <t xml:space="preserve">                 Cells(rowIndex, 12) = 1</t>
  </si>
  <si>
    <t xml:space="preserve">                'Case 3</t>
  </si>
  <si>
    <t xml:space="preserve">                If weight &gt; 6 And weight &lt;= 10 Then     'If 4</t>
  </si>
  <si>
    <t xml:space="preserve">                    ' DD-Path 7</t>
  </si>
  <si>
    <t xml:space="preserve">                    Cells(rowIndex, 13) = 1</t>
  </si>
  <si>
    <t xml:space="preserve">                    shiprate = 0.02</t>
  </si>
  <si>
    <t xml:space="preserve">                    totalCost = shiprate * mileage</t>
  </si>
  <si>
    <t xml:space="preserve">                    Cells(rowIndex, 5) = totalCost</t>
  </si>
  <si>
    <t xml:space="preserve">                Else</t>
  </si>
  <si>
    <t xml:space="preserve">                    ' DD-Path 8</t>
  </si>
  <si>
    <t xml:space="preserve">                    Cells(rowIndex, 14) = 1</t>
  </si>
  <si>
    <t xml:space="preserve">                </t>
  </si>
  <si>
    <t xml:space="preserve">                    'Case 4</t>
  </si>
  <si>
    <t xml:space="preserve">                      If weight &gt; 10 And weight &lt;= 20 Then    'If 5</t>
  </si>
  <si>
    <t xml:space="preserve">                          ' DD-Path 9</t>
  </si>
  <si>
    <t xml:space="preserve">                          Cells(rowIndex, 15) = 1</t>
  </si>
  <si>
    <t xml:space="preserve">                          shiprate = 0.025</t>
  </si>
  <si>
    <t xml:space="preserve">                          totalCost = shiprate * mileage</t>
  </si>
  <si>
    <t xml:space="preserve">                          Cells(rowIndex, 5) = totalCost</t>
  </si>
  <si>
    <t xml:space="preserve">                    Else</t>
  </si>
  <si>
    <t xml:space="preserve">                        ' DD-Path 10</t>
  </si>
  <si>
    <t xml:space="preserve">                        Cells(rowIndex, 16) = 1</t>
  </si>
  <si>
    <t xml:space="preserve">                        Cells(rowIndex, 5) = "invalid"</t>
  </si>
  <si>
    <t xml:space="preserve">                    End If                                  'End If 5</t>
  </si>
  <si>
    <t xml:space="preserve">                End If                                  'End If 4</t>
  </si>
  <si>
    <t xml:space="preserve">            End If                                  'End If 3</t>
  </si>
  <si>
    <t xml:space="preserve">          End If                                  'End If 2</t>
  </si>
  <si>
    <t xml:space="preserve">        'DD-Path 11</t>
  </si>
  <si>
    <t xml:space="preserve">        Cells(rowIndex, 17) = 1</t>
  </si>
  <si>
    <t xml:space="preserve">        Cells(rowIndex, 5) = "invalid"</t>
  </si>
  <si>
    <t xml:space="preserve">    ' DD-Path 12</t>
  </si>
  <si>
    <t xml:space="preserve">    Cells(rowIndex, 18) = 1</t>
  </si>
  <si>
    <t xml:space="preserve">    If (Cells(rowIndex, 4) = Cells(rowIndex, 5)) Then</t>
  </si>
  <si>
    <t xml:space="preserve">        Cells(rowIndex, 6) = "pass"</t>
  </si>
  <si>
    <t xml:space="preserve">        Cells(rowIndex, 6) = "fail"</t>
  </si>
  <si>
    <t xml:space="preserve">    rowIndex = rowIndex + 1</t>
  </si>
  <si>
    <t>Loop</t>
  </si>
  <si>
    <t>End Sub</t>
  </si>
  <si>
    <t>Normal BVT</t>
  </si>
  <si>
    <t>Robust BVT</t>
  </si>
  <si>
    <t>Worst-Case BVT</t>
  </si>
  <si>
    <t>Robust Worst-Case BVT</t>
  </si>
  <si>
    <t>Weak Normal ECT</t>
  </si>
  <si>
    <t>Strong Normal ECT</t>
  </si>
  <si>
    <t>Weak Robust ECT</t>
  </si>
  <si>
    <t>Strong Robust ECT</t>
  </si>
  <si>
    <t>Decision Table Test</t>
  </si>
  <si>
    <t>Is 0&lt;=weight&lt;=2?</t>
  </si>
  <si>
    <t>Is 2&lt;weight&lt;=6?</t>
  </si>
  <si>
    <t>Is 6&lt;weight&lt;=10?</t>
  </si>
  <si>
    <t>Is 10&lt;weight&lt;=20?</t>
  </si>
  <si>
    <t>Is 5&lt;=mileage&lt;=1000?</t>
  </si>
  <si>
    <t>Special Value Test</t>
  </si>
  <si>
    <t>coverage</t>
  </si>
  <si>
    <t>Statement Coverage</t>
  </si>
  <si>
    <t>Branch Coverage</t>
  </si>
  <si>
    <t>MC Coverage</t>
  </si>
  <si>
    <t>Loop Coverage</t>
  </si>
  <si>
    <t>0&lt;=w&lt;=2</t>
  </si>
  <si>
    <t>2&lt;w&lt;=6</t>
  </si>
  <si>
    <t>6&lt;w&lt;=10</t>
  </si>
  <si>
    <t>10&lt;w&lt;=20</t>
  </si>
  <si>
    <t>5&lt;=m&lt;=1000</t>
  </si>
  <si>
    <t>T</t>
  </si>
  <si>
    <t>F</t>
  </si>
  <si>
    <t>c1</t>
  </si>
  <si>
    <t>c2</t>
  </si>
  <si>
    <t>c3</t>
  </si>
  <si>
    <t>c4</t>
  </si>
  <si>
    <t>c5</t>
  </si>
  <si>
    <t>same as 4</t>
  </si>
  <si>
    <t>same as 1</t>
  </si>
  <si>
    <t>same as 9</t>
  </si>
  <si>
    <t>same as 30</t>
  </si>
  <si>
    <t>same as 2</t>
  </si>
  <si>
    <t>same as 7</t>
  </si>
  <si>
    <t>MC Decision Table</t>
  </si>
  <si>
    <t>same as 14</t>
  </si>
  <si>
    <t>same as 8</t>
  </si>
  <si>
    <t>same as 10</t>
  </si>
  <si>
    <t>same as 13</t>
  </si>
  <si>
    <t>Cyclomatic and Essential Complexity</t>
  </si>
  <si>
    <t>V(G) = 16-12+1 = 5</t>
  </si>
  <si>
    <t>Program Graph with DD-Paths for the Shipping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</si>
</sst>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505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2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3"/>
    <xf numFmtId="0" fontId="4" fillId="0" borderId="0" xfId="3" applyFont="1"/>
    <xf numFmtId="0" fontId="5" fillId="0" borderId="0" xfId="3" applyFont="1"/>
    <xf numFmtId="0" fontId="6" fillId="0" borderId="0" xfId="3" applyFon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/>
    <xf numFmtId="0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/>
    </xf>
    <xf numFmtId="1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NumberFormat="1" applyFill="1" applyAlignment="1">
      <alignment horizontal="center"/>
    </xf>
    <xf numFmtId="165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/>
    <xf numFmtId="9" fontId="0" fillId="0" borderId="0" xfId="1" applyFont="1" applyAlignment="1">
      <alignment horizontal="center" vertical="center"/>
    </xf>
    <xf numFmtId="14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Explanatory Text" xfId="2" builtinId="53"/>
    <cellStyle name="Normal" xfId="0" builtinId="0"/>
    <cellStyle name="Normal 2" xfId="3" xr:uid="{F2F1CA2B-0252-41E3-A196-32EDEC2F6D38}"/>
    <cellStyle name="Percent" xfId="1" builtinId="5"/>
  </cellStyles>
  <dxfs count="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21</xdr:row>
      <xdr:rowOff>85725</xdr:rowOff>
    </xdr:from>
    <xdr:to>
      <xdr:col>13</xdr:col>
      <xdr:colOff>142875</xdr:colOff>
      <xdr:row>23</xdr:row>
      <xdr:rowOff>85725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7505700" y="3486150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DD-1</a:t>
          </a:r>
          <a:endParaRPr lang="en-US"/>
        </a:p>
      </xdr:txBody>
    </xdr:sp>
    <xdr:clientData/>
  </xdr:twoCellAnchor>
  <xdr:twoCellAnchor>
    <xdr:from>
      <xdr:col>10</xdr:col>
      <xdr:colOff>590550</xdr:colOff>
      <xdr:row>24</xdr:row>
      <xdr:rowOff>152400</xdr:rowOff>
    </xdr:from>
    <xdr:to>
      <xdr:col>11</xdr:col>
      <xdr:colOff>542925</xdr:colOff>
      <xdr:row>26</xdr:row>
      <xdr:rowOff>152400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6686550" y="4038600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DD-2</a:t>
          </a:r>
          <a:endParaRPr lang="en-US"/>
        </a:p>
      </xdr:txBody>
    </xdr:sp>
    <xdr:clientData/>
  </xdr:twoCellAnchor>
  <xdr:twoCellAnchor>
    <xdr:from>
      <xdr:col>13</xdr:col>
      <xdr:colOff>304800</xdr:colOff>
      <xdr:row>24</xdr:row>
      <xdr:rowOff>152400</xdr:rowOff>
    </xdr:from>
    <xdr:to>
      <xdr:col>14</xdr:col>
      <xdr:colOff>361950</xdr:colOff>
      <xdr:row>26</xdr:row>
      <xdr:rowOff>152400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8229600" y="4038600"/>
          <a:ext cx="666750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DD-11</a:t>
          </a:r>
          <a:endParaRPr lang="en-US"/>
        </a:p>
      </xdr:txBody>
    </xdr:sp>
    <xdr:clientData/>
  </xdr:twoCellAnchor>
  <xdr:twoCellAnchor>
    <xdr:from>
      <xdr:col>11</xdr:col>
      <xdr:colOff>542925</xdr:colOff>
      <xdr:row>29</xdr:row>
      <xdr:rowOff>123825</xdr:rowOff>
    </xdr:from>
    <xdr:to>
      <xdr:col>12</xdr:col>
      <xdr:colOff>495300</xdr:colOff>
      <xdr:row>31</xdr:row>
      <xdr:rowOff>123825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7248525" y="4819650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DD-4</a:t>
          </a:r>
          <a:endParaRPr lang="en-US"/>
        </a:p>
      </xdr:txBody>
    </xdr:sp>
    <xdr:clientData/>
  </xdr:twoCellAnchor>
  <xdr:twoCellAnchor>
    <xdr:from>
      <xdr:col>11</xdr:col>
      <xdr:colOff>152400</xdr:colOff>
      <xdr:row>34</xdr:row>
      <xdr:rowOff>47625</xdr:rowOff>
    </xdr:from>
    <xdr:to>
      <xdr:col>12</xdr:col>
      <xdr:colOff>104775</xdr:colOff>
      <xdr:row>36</xdr:row>
      <xdr:rowOff>47625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6858000" y="555307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DD-5</a:t>
          </a:r>
          <a:endParaRPr lang="en-US"/>
        </a:p>
      </xdr:txBody>
    </xdr:sp>
    <xdr:clientData/>
  </xdr:twoCellAnchor>
  <xdr:twoCellAnchor>
    <xdr:from>
      <xdr:col>12</xdr:col>
      <xdr:colOff>533400</xdr:colOff>
      <xdr:row>34</xdr:row>
      <xdr:rowOff>28575</xdr:rowOff>
    </xdr:from>
    <xdr:to>
      <xdr:col>13</xdr:col>
      <xdr:colOff>485775</xdr:colOff>
      <xdr:row>36</xdr:row>
      <xdr:rowOff>28575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7848600" y="553402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DD-6</a:t>
          </a:r>
          <a:endParaRPr lang="en-US"/>
        </a:p>
      </xdr:txBody>
    </xdr:sp>
    <xdr:clientData/>
  </xdr:twoCellAnchor>
  <xdr:twoCellAnchor>
    <xdr:from>
      <xdr:col>10</xdr:col>
      <xdr:colOff>190500</xdr:colOff>
      <xdr:row>39</xdr:row>
      <xdr:rowOff>19050</xdr:rowOff>
    </xdr:from>
    <xdr:to>
      <xdr:col>11</xdr:col>
      <xdr:colOff>142875</xdr:colOff>
      <xdr:row>41</xdr:row>
      <xdr:rowOff>19050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6286500" y="633412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DD-7</a:t>
          </a:r>
          <a:endParaRPr lang="en-US"/>
        </a:p>
      </xdr:txBody>
    </xdr:sp>
    <xdr:clientData/>
  </xdr:twoCellAnchor>
  <xdr:twoCellAnchor>
    <xdr:from>
      <xdr:col>12</xdr:col>
      <xdr:colOff>152400</xdr:colOff>
      <xdr:row>38</xdr:row>
      <xdr:rowOff>114300</xdr:rowOff>
    </xdr:from>
    <xdr:to>
      <xdr:col>13</xdr:col>
      <xdr:colOff>104775</xdr:colOff>
      <xdr:row>40</xdr:row>
      <xdr:rowOff>114300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7467600" y="6267450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DD-8</a:t>
          </a:r>
          <a:endParaRPr lang="en-US"/>
        </a:p>
      </xdr:txBody>
    </xdr:sp>
    <xdr:clientData/>
  </xdr:twoCellAnchor>
  <xdr:twoCellAnchor>
    <xdr:from>
      <xdr:col>11</xdr:col>
      <xdr:colOff>219075</xdr:colOff>
      <xdr:row>43</xdr:row>
      <xdr:rowOff>57150</xdr:rowOff>
    </xdr:from>
    <xdr:to>
      <xdr:col>12</xdr:col>
      <xdr:colOff>171450</xdr:colOff>
      <xdr:row>45</xdr:row>
      <xdr:rowOff>57150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6924675" y="701992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DD-9</a:t>
          </a:r>
          <a:endParaRPr lang="en-US"/>
        </a:p>
      </xdr:txBody>
    </xdr:sp>
    <xdr:clientData/>
  </xdr:twoCellAnchor>
  <xdr:twoCellAnchor>
    <xdr:from>
      <xdr:col>13</xdr:col>
      <xdr:colOff>85725</xdr:colOff>
      <xdr:row>43</xdr:row>
      <xdr:rowOff>47625</xdr:rowOff>
    </xdr:from>
    <xdr:to>
      <xdr:col>14</xdr:col>
      <xdr:colOff>190500</xdr:colOff>
      <xdr:row>45</xdr:row>
      <xdr:rowOff>47625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8010525" y="7010400"/>
          <a:ext cx="7143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DD-10</a:t>
          </a:r>
          <a:endParaRPr lang="en-US"/>
        </a:p>
      </xdr:txBody>
    </xdr:sp>
    <xdr:clientData/>
  </xdr:twoCellAnchor>
  <xdr:twoCellAnchor>
    <xdr:from>
      <xdr:col>12</xdr:col>
      <xdr:colOff>47625</xdr:colOff>
      <xdr:row>48</xdr:row>
      <xdr:rowOff>66675</xdr:rowOff>
    </xdr:from>
    <xdr:to>
      <xdr:col>13</xdr:col>
      <xdr:colOff>180975</xdr:colOff>
      <xdr:row>50</xdr:row>
      <xdr:rowOff>66675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7362825" y="7839075"/>
          <a:ext cx="742950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DD-12</a:t>
          </a:r>
          <a:endParaRPr lang="en-US"/>
        </a:p>
      </xdr:txBody>
    </xdr:sp>
    <xdr:clientData/>
  </xdr:twoCellAnchor>
  <xdr:twoCellAnchor>
    <xdr:from>
      <xdr:col>11</xdr:col>
      <xdr:colOff>485775</xdr:colOff>
      <xdr:row>23</xdr:row>
      <xdr:rowOff>57150</xdr:rowOff>
    </xdr:from>
    <xdr:to>
      <xdr:col>12</xdr:col>
      <xdr:colOff>323850</xdr:colOff>
      <xdr:row>25</xdr:row>
      <xdr:rowOff>66675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 flipH="1">
          <a:off x="7191375" y="3781425"/>
          <a:ext cx="447675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66675</xdr:colOff>
      <xdr:row>23</xdr:row>
      <xdr:rowOff>38100</xdr:rowOff>
    </xdr:from>
    <xdr:to>
      <xdr:col>13</xdr:col>
      <xdr:colOff>400050</xdr:colOff>
      <xdr:row>25</xdr:row>
      <xdr:rowOff>28575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>
          <a:off x="7991475" y="3762375"/>
          <a:ext cx="333375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342900</xdr:colOff>
      <xdr:row>26</xdr:row>
      <xdr:rowOff>104775</xdr:rowOff>
    </xdr:from>
    <xdr:to>
      <xdr:col>11</xdr:col>
      <xdr:colOff>66675</xdr:colOff>
      <xdr:row>29</xdr:row>
      <xdr:rowOff>152400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 flipH="1">
          <a:off x="6438900" y="4314825"/>
          <a:ext cx="333375" cy="533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542925</xdr:colOff>
      <xdr:row>35</xdr:row>
      <xdr:rowOff>142875</xdr:rowOff>
    </xdr:from>
    <xdr:to>
      <xdr:col>11</xdr:col>
      <xdr:colOff>219075</xdr:colOff>
      <xdr:row>39</xdr:row>
      <xdr:rowOff>28575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ShapeType="1"/>
        </xdr:cNvSpPr>
      </xdr:nvSpPr>
      <xdr:spPr bwMode="auto">
        <a:xfrm flipH="1">
          <a:off x="6638925" y="5810250"/>
          <a:ext cx="285750" cy="533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57150</xdr:colOff>
      <xdr:row>35</xdr:row>
      <xdr:rowOff>142875</xdr:rowOff>
    </xdr:from>
    <xdr:to>
      <xdr:col>12</xdr:col>
      <xdr:colOff>285750</xdr:colOff>
      <xdr:row>38</xdr:row>
      <xdr:rowOff>152400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ShapeType="1"/>
        </xdr:cNvSpPr>
      </xdr:nvSpPr>
      <xdr:spPr bwMode="auto">
        <a:xfrm>
          <a:off x="7372350" y="5810250"/>
          <a:ext cx="22860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561975</xdr:colOff>
      <xdr:row>40</xdr:row>
      <xdr:rowOff>66676</xdr:rowOff>
    </xdr:from>
    <xdr:to>
      <xdr:col>12</xdr:col>
      <xdr:colOff>238125</xdr:colOff>
      <xdr:row>43</xdr:row>
      <xdr:rowOff>76201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ShapeType="1"/>
        </xdr:cNvSpPr>
      </xdr:nvSpPr>
      <xdr:spPr bwMode="auto">
        <a:xfrm flipH="1">
          <a:off x="7267575" y="6543676"/>
          <a:ext cx="28575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590551</xdr:colOff>
      <xdr:row>40</xdr:row>
      <xdr:rowOff>85725</xdr:rowOff>
    </xdr:from>
    <xdr:to>
      <xdr:col>13</xdr:col>
      <xdr:colOff>342901</xdr:colOff>
      <xdr:row>43</xdr:row>
      <xdr:rowOff>57150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ShapeType="1"/>
        </xdr:cNvSpPr>
      </xdr:nvSpPr>
      <xdr:spPr bwMode="auto">
        <a:xfrm>
          <a:off x="7905751" y="6562725"/>
          <a:ext cx="361950" cy="457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514350</xdr:colOff>
      <xdr:row>45</xdr:row>
      <xdr:rowOff>9525</xdr:rowOff>
    </xdr:from>
    <xdr:to>
      <xdr:col>13</xdr:col>
      <xdr:colOff>304800</xdr:colOff>
      <xdr:row>48</xdr:row>
      <xdr:rowOff>76200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ShapeType="1"/>
        </xdr:cNvSpPr>
      </xdr:nvSpPr>
      <xdr:spPr bwMode="auto">
        <a:xfrm flipH="1">
          <a:off x="7829550" y="7296150"/>
          <a:ext cx="40005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142875</xdr:colOff>
      <xdr:row>29</xdr:row>
      <xdr:rowOff>133350</xdr:rowOff>
    </xdr:from>
    <xdr:to>
      <xdr:col>11</xdr:col>
      <xdr:colOff>95250</xdr:colOff>
      <xdr:row>31</xdr:row>
      <xdr:rowOff>133350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rrowheads="1"/>
        </xdr:cNvSpPr>
      </xdr:nvSpPr>
      <xdr:spPr bwMode="auto">
        <a:xfrm>
          <a:off x="6238875" y="482917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DD-3</a:t>
          </a:r>
          <a:endParaRPr lang="en-US"/>
        </a:p>
      </xdr:txBody>
    </xdr:sp>
    <xdr:clientData/>
  </xdr:twoCellAnchor>
  <xdr:twoCellAnchor>
    <xdr:from>
      <xdr:col>11</xdr:col>
      <xdr:colOff>457199</xdr:colOff>
      <xdr:row>26</xdr:row>
      <xdr:rowOff>114301</xdr:rowOff>
    </xdr:from>
    <xdr:to>
      <xdr:col>12</xdr:col>
      <xdr:colOff>114300</xdr:colOff>
      <xdr:row>29</xdr:row>
      <xdr:rowOff>142875</xdr:rowOff>
    </xdr:to>
    <xdr:sp macro="" textlink="">
      <xdr:nvSpPr>
        <xdr:cNvPr id="30" name="Line 17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ShapeType="1"/>
        </xdr:cNvSpPr>
      </xdr:nvSpPr>
      <xdr:spPr bwMode="auto">
        <a:xfrm>
          <a:off x="7162799" y="4324351"/>
          <a:ext cx="266701" cy="5143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466724</xdr:colOff>
      <xdr:row>31</xdr:row>
      <xdr:rowOff>95250</xdr:rowOff>
    </xdr:from>
    <xdr:to>
      <xdr:col>12</xdr:col>
      <xdr:colOff>57149</xdr:colOff>
      <xdr:row>34</xdr:row>
      <xdr:rowOff>57150</xdr:rowOff>
    </xdr:to>
    <xdr:sp macro="" textlink="">
      <xdr:nvSpPr>
        <xdr:cNvPr id="32" name="Line 15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ShapeType="1"/>
        </xdr:cNvSpPr>
      </xdr:nvSpPr>
      <xdr:spPr bwMode="auto">
        <a:xfrm flipH="1">
          <a:off x="7172324" y="5114925"/>
          <a:ext cx="200025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476250</xdr:colOff>
      <xdr:row>31</xdr:row>
      <xdr:rowOff>28575</xdr:rowOff>
    </xdr:from>
    <xdr:to>
      <xdr:col>13</xdr:col>
      <xdr:colOff>95250</xdr:colOff>
      <xdr:row>34</xdr:row>
      <xdr:rowOff>38100</xdr:rowOff>
    </xdr:to>
    <xdr:sp macro="" textlink="">
      <xdr:nvSpPr>
        <xdr:cNvPr id="33" name="Line 19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ShapeType="1"/>
        </xdr:cNvSpPr>
      </xdr:nvSpPr>
      <xdr:spPr bwMode="auto">
        <a:xfrm>
          <a:off x="7791450" y="5048250"/>
          <a:ext cx="22860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495300</xdr:colOff>
      <xdr:row>45</xdr:row>
      <xdr:rowOff>57150</xdr:rowOff>
    </xdr:from>
    <xdr:to>
      <xdr:col>12</xdr:col>
      <xdr:colOff>209550</xdr:colOff>
      <xdr:row>48</xdr:row>
      <xdr:rowOff>114300</xdr:rowOff>
    </xdr:to>
    <xdr:sp macro="" textlink="">
      <xdr:nvSpPr>
        <xdr:cNvPr id="34" name="Line 24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ShapeType="1"/>
        </xdr:cNvSpPr>
      </xdr:nvSpPr>
      <xdr:spPr bwMode="auto">
        <a:xfrm>
          <a:off x="7200900" y="7343775"/>
          <a:ext cx="323850" cy="542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314324</xdr:colOff>
      <xdr:row>40</xdr:row>
      <xdr:rowOff>142875</xdr:rowOff>
    </xdr:from>
    <xdr:to>
      <xdr:col>12</xdr:col>
      <xdr:colOff>38099</xdr:colOff>
      <xdr:row>49</xdr:row>
      <xdr:rowOff>57150</xdr:rowOff>
    </xdr:to>
    <xdr:sp macro="" textlink="">
      <xdr:nvSpPr>
        <xdr:cNvPr id="35" name="Line 2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ShapeType="1"/>
        </xdr:cNvSpPr>
      </xdr:nvSpPr>
      <xdr:spPr bwMode="auto">
        <a:xfrm>
          <a:off x="6410324" y="6619875"/>
          <a:ext cx="942975" cy="1371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142874</xdr:colOff>
      <xdr:row>30</xdr:row>
      <xdr:rowOff>133350</xdr:rowOff>
    </xdr:from>
    <xdr:to>
      <xdr:col>12</xdr:col>
      <xdr:colOff>156427</xdr:colOff>
      <xdr:row>50</xdr:row>
      <xdr:rowOff>19248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29" idx="2"/>
          <a:endCxn id="13" idx="3"/>
        </xdr:cNvCxnSpPr>
      </xdr:nvCxnSpPr>
      <xdr:spPr>
        <a:xfrm rot="10800000" flipH="1" flipV="1">
          <a:off x="6238874" y="4991100"/>
          <a:ext cx="1232753" cy="3124398"/>
        </a:xfrm>
        <a:prstGeom prst="curvedConnector4">
          <a:avLst>
            <a:gd name="adj1" fmla="val -18544"/>
            <a:gd name="adj2" fmla="val 10883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180975</xdr:colOff>
      <xdr:row>35</xdr:row>
      <xdr:rowOff>28575</xdr:rowOff>
    </xdr:from>
    <xdr:to>
      <xdr:col>13</xdr:col>
      <xdr:colOff>485775</xdr:colOff>
      <xdr:row>49</xdr:row>
      <xdr:rowOff>66675</xdr:rowOff>
    </xdr:to>
    <xdr:cxnSp macro="">
      <xdr:nvCxnSpPr>
        <xdr:cNvPr id="43" name="Connector: Curved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>
          <a:stCxn id="8" idx="6"/>
          <a:endCxn id="13" idx="6"/>
        </xdr:cNvCxnSpPr>
      </xdr:nvCxnSpPr>
      <xdr:spPr>
        <a:xfrm flipH="1">
          <a:off x="8105775" y="5695950"/>
          <a:ext cx="304800" cy="2305050"/>
        </a:xfrm>
        <a:prstGeom prst="curvedConnector3">
          <a:avLst>
            <a:gd name="adj1" fmla="val -75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72172</xdr:colOff>
      <xdr:row>25</xdr:row>
      <xdr:rowOff>152400</xdr:rowOff>
    </xdr:from>
    <xdr:to>
      <xdr:col>14</xdr:col>
      <xdr:colOff>361950</xdr:colOff>
      <xdr:row>50</xdr:row>
      <xdr:rowOff>19248</xdr:rowOff>
    </xdr:to>
    <xdr:cxnSp macro="">
      <xdr:nvCxnSpPr>
        <xdr:cNvPr id="45" name="Connector: Curved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>
          <a:stCxn id="5" idx="6"/>
          <a:endCxn id="13" idx="5"/>
        </xdr:cNvCxnSpPr>
      </xdr:nvCxnSpPr>
      <xdr:spPr>
        <a:xfrm flipH="1">
          <a:off x="7996972" y="4200525"/>
          <a:ext cx="899378" cy="3914973"/>
        </a:xfrm>
        <a:prstGeom prst="curvedConnector4">
          <a:avLst>
            <a:gd name="adj1" fmla="val -25418"/>
            <a:gd name="adj2" fmla="val 107051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10</xdr:col>
          <xdr:colOff>419100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EA1ED-EC63-429E-93AF-C3CD6DAFD0C7}">
  <sheetPr codeName="Sheet5"/>
  <dimension ref="A3:J82"/>
  <sheetViews>
    <sheetView workbookViewId="0">
      <selection activeCell="K56" sqref="K56"/>
    </sheetView>
  </sheetViews>
  <sheetFormatPr defaultRowHeight="12.75" x14ac:dyDescent="0.2"/>
  <cols>
    <col min="1" max="16384" width="9.140625" style="7"/>
  </cols>
  <sheetData>
    <row r="3" spans="1:2" x14ac:dyDescent="0.2">
      <c r="A3" s="7" t="s">
        <v>24</v>
      </c>
    </row>
    <row r="4" spans="1:2" x14ac:dyDescent="0.2">
      <c r="A4" s="7" t="s">
        <v>25</v>
      </c>
    </row>
    <row r="5" spans="1:2" x14ac:dyDescent="0.2">
      <c r="A5" s="7" t="s">
        <v>26</v>
      </c>
    </row>
    <row r="6" spans="1:2" x14ac:dyDescent="0.2">
      <c r="A6" s="7" t="s">
        <v>27</v>
      </c>
    </row>
    <row r="7" spans="1:2" x14ac:dyDescent="0.2">
      <c r="A7" s="7" t="s">
        <v>28</v>
      </c>
    </row>
    <row r="9" spans="1:2" x14ac:dyDescent="0.2">
      <c r="A9" s="7" t="s">
        <v>21</v>
      </c>
    </row>
    <row r="10" spans="1:2" x14ac:dyDescent="0.2">
      <c r="A10" s="7" t="s">
        <v>29</v>
      </c>
    </row>
    <row r="11" spans="1:2" x14ac:dyDescent="0.2">
      <c r="A11" s="7" t="s">
        <v>30</v>
      </c>
    </row>
    <row r="12" spans="1:2" x14ac:dyDescent="0.2">
      <c r="A12" s="7" t="s">
        <v>31</v>
      </c>
    </row>
    <row r="13" spans="1:2" x14ac:dyDescent="0.2">
      <c r="A13" s="9" t="s">
        <v>32</v>
      </c>
      <c r="B13" s="9"/>
    </row>
    <row r="14" spans="1:2" x14ac:dyDescent="0.2">
      <c r="A14" s="7" t="s">
        <v>33</v>
      </c>
    </row>
    <row r="15" spans="1:2" x14ac:dyDescent="0.2">
      <c r="A15" s="7" t="s">
        <v>34</v>
      </c>
    </row>
    <row r="16" spans="1:2" x14ac:dyDescent="0.2">
      <c r="A16" s="9" t="s">
        <v>35</v>
      </c>
      <c r="B16" s="9"/>
    </row>
    <row r="17" spans="1:10" x14ac:dyDescent="0.2">
      <c r="A17" s="7" t="s">
        <v>36</v>
      </c>
    </row>
    <row r="18" spans="1:10" x14ac:dyDescent="0.2">
      <c r="A18" s="7" t="s">
        <v>37</v>
      </c>
      <c r="J18" s="8" t="s">
        <v>140</v>
      </c>
    </row>
    <row r="19" spans="1:10" ht="15" x14ac:dyDescent="0.25">
      <c r="A19" s="7" t="s">
        <v>38</v>
      </c>
      <c r="J19" t="s">
        <v>138</v>
      </c>
    </row>
    <row r="20" spans="1:10" ht="15" x14ac:dyDescent="0.25">
      <c r="A20" s="7" t="s">
        <v>39</v>
      </c>
      <c r="B20" s="9"/>
      <c r="G20"/>
      <c r="J20" s="7" t="s">
        <v>139</v>
      </c>
    </row>
    <row r="21" spans="1:10" x14ac:dyDescent="0.2">
      <c r="A21" s="9" t="s">
        <v>40</v>
      </c>
      <c r="B21" s="9"/>
    </row>
    <row r="22" spans="1:10" x14ac:dyDescent="0.2">
      <c r="A22" s="7" t="s">
        <v>41</v>
      </c>
    </row>
    <row r="23" spans="1:10" x14ac:dyDescent="0.2">
      <c r="A23" s="7" t="s">
        <v>42</v>
      </c>
      <c r="B23" s="10"/>
    </row>
    <row r="24" spans="1:10" x14ac:dyDescent="0.2">
      <c r="A24" s="7" t="s">
        <v>43</v>
      </c>
      <c r="B24" s="9"/>
    </row>
    <row r="25" spans="1:10" x14ac:dyDescent="0.2">
      <c r="A25" s="7" t="s">
        <v>44</v>
      </c>
    </row>
    <row r="26" spans="1:10" x14ac:dyDescent="0.2">
      <c r="A26" s="7" t="s">
        <v>45</v>
      </c>
    </row>
    <row r="27" spans="1:10" x14ac:dyDescent="0.2">
      <c r="A27" s="9" t="s">
        <v>46</v>
      </c>
      <c r="B27" s="9"/>
    </row>
    <row r="28" spans="1:10" x14ac:dyDescent="0.2">
      <c r="A28" s="7" t="s">
        <v>47</v>
      </c>
      <c r="B28" s="9"/>
    </row>
    <row r="29" spans="1:10" x14ac:dyDescent="0.2">
      <c r="A29" s="7" t="s">
        <v>37</v>
      </c>
    </row>
    <row r="30" spans="1:10" x14ac:dyDescent="0.2">
      <c r="A30" s="7" t="s">
        <v>48</v>
      </c>
    </row>
    <row r="31" spans="1:10" x14ac:dyDescent="0.2">
      <c r="A31" s="7" t="s">
        <v>49</v>
      </c>
    </row>
    <row r="32" spans="1:10" x14ac:dyDescent="0.2">
      <c r="A32" s="9" t="s">
        <v>50</v>
      </c>
      <c r="B32" s="9"/>
      <c r="C32" s="9"/>
    </row>
    <row r="33" spans="1:3" x14ac:dyDescent="0.2">
      <c r="A33" s="7" t="s">
        <v>51</v>
      </c>
      <c r="B33" s="9"/>
    </row>
    <row r="34" spans="1:3" x14ac:dyDescent="0.2">
      <c r="A34" s="7" t="s">
        <v>52</v>
      </c>
    </row>
    <row r="35" spans="1:3" x14ac:dyDescent="0.2">
      <c r="A35" s="7" t="s">
        <v>53</v>
      </c>
    </row>
    <row r="36" spans="1:3" x14ac:dyDescent="0.2">
      <c r="A36" s="7" t="s">
        <v>54</v>
      </c>
      <c r="B36" s="9"/>
    </row>
    <row r="37" spans="1:3" x14ac:dyDescent="0.2">
      <c r="A37" s="7" t="s">
        <v>55</v>
      </c>
    </row>
    <row r="38" spans="1:3" x14ac:dyDescent="0.2">
      <c r="A38" s="9" t="s">
        <v>56</v>
      </c>
      <c r="B38" s="9"/>
      <c r="C38" s="9"/>
    </row>
    <row r="39" spans="1:3" x14ac:dyDescent="0.2">
      <c r="A39" s="7" t="s">
        <v>57</v>
      </c>
      <c r="B39" s="9"/>
    </row>
    <row r="40" spans="1:3" x14ac:dyDescent="0.2">
      <c r="A40" s="7" t="s">
        <v>37</v>
      </c>
    </row>
    <row r="41" spans="1:3" x14ac:dyDescent="0.2">
      <c r="A41" s="7" t="s">
        <v>58</v>
      </c>
    </row>
    <row r="42" spans="1:3" x14ac:dyDescent="0.2">
      <c r="A42" s="7" t="s">
        <v>59</v>
      </c>
      <c r="B42" s="10"/>
    </row>
    <row r="43" spans="1:3" x14ac:dyDescent="0.2">
      <c r="A43" s="9" t="s">
        <v>60</v>
      </c>
      <c r="B43" s="9"/>
      <c r="C43" s="9"/>
    </row>
    <row r="44" spans="1:3" x14ac:dyDescent="0.2">
      <c r="A44" s="7" t="s">
        <v>61</v>
      </c>
    </row>
    <row r="45" spans="1:3" x14ac:dyDescent="0.2">
      <c r="A45" s="7" t="s">
        <v>62</v>
      </c>
    </row>
    <row r="46" spans="1:3" x14ac:dyDescent="0.2">
      <c r="A46" s="7" t="s">
        <v>63</v>
      </c>
    </row>
    <row r="47" spans="1:3" x14ac:dyDescent="0.2">
      <c r="A47" s="7" t="s">
        <v>64</v>
      </c>
      <c r="B47" s="9"/>
    </row>
    <row r="48" spans="1:3" x14ac:dyDescent="0.2">
      <c r="A48" s="7" t="s">
        <v>65</v>
      </c>
    </row>
    <row r="49" spans="1:3" x14ac:dyDescent="0.2">
      <c r="A49" s="9" t="s">
        <v>66</v>
      </c>
      <c r="B49" s="9"/>
      <c r="C49" s="9"/>
    </row>
    <row r="50" spans="1:3" x14ac:dyDescent="0.2">
      <c r="A50" s="7" t="s">
        <v>67</v>
      </c>
    </row>
    <row r="51" spans="1:3" x14ac:dyDescent="0.2">
      <c r="A51" s="7" t="s">
        <v>68</v>
      </c>
      <c r="B51" s="9"/>
    </row>
    <row r="52" spans="1:3" x14ac:dyDescent="0.2">
      <c r="A52" s="7" t="s">
        <v>69</v>
      </c>
    </row>
    <row r="53" spans="1:3" x14ac:dyDescent="0.2">
      <c r="A53" s="7" t="s">
        <v>70</v>
      </c>
      <c r="B53" s="10"/>
    </row>
    <row r="54" spans="1:3" x14ac:dyDescent="0.2">
      <c r="A54" s="9" t="s">
        <v>71</v>
      </c>
      <c r="B54" s="9"/>
      <c r="C54" s="9"/>
    </row>
    <row r="55" spans="1:3" x14ac:dyDescent="0.2">
      <c r="A55" s="7" t="s">
        <v>72</v>
      </c>
      <c r="B55" s="9"/>
    </row>
    <row r="56" spans="1:3" x14ac:dyDescent="0.2">
      <c r="A56" s="7" t="s">
        <v>73</v>
      </c>
    </row>
    <row r="57" spans="1:3" x14ac:dyDescent="0.2">
      <c r="A57" s="7" t="s">
        <v>74</v>
      </c>
    </row>
    <row r="58" spans="1:3" x14ac:dyDescent="0.2">
      <c r="A58" s="7" t="s">
        <v>75</v>
      </c>
    </row>
    <row r="59" spans="1:3" x14ac:dyDescent="0.2">
      <c r="A59" s="7" t="s">
        <v>76</v>
      </c>
      <c r="B59" s="9"/>
    </row>
    <row r="60" spans="1:3" x14ac:dyDescent="0.2">
      <c r="A60" s="9" t="s">
        <v>77</v>
      </c>
      <c r="B60" s="9"/>
      <c r="C60" s="9"/>
    </row>
    <row r="61" spans="1:3" x14ac:dyDescent="0.2">
      <c r="A61" s="7" t="s">
        <v>78</v>
      </c>
    </row>
    <row r="62" spans="1:3" x14ac:dyDescent="0.2">
      <c r="A62" s="7" t="s">
        <v>79</v>
      </c>
    </row>
    <row r="63" spans="1:3" x14ac:dyDescent="0.2">
      <c r="A63" s="7" t="s">
        <v>80</v>
      </c>
    </row>
    <row r="64" spans="1:3" x14ac:dyDescent="0.2">
      <c r="A64" s="7" t="s">
        <v>81</v>
      </c>
    </row>
    <row r="65" spans="1:2" x14ac:dyDescent="0.2">
      <c r="A65" s="7" t="s">
        <v>82</v>
      </c>
    </row>
    <row r="66" spans="1:2" x14ac:dyDescent="0.2">
      <c r="A66" s="7" t="s">
        <v>83</v>
      </c>
    </row>
    <row r="67" spans="1:2" x14ac:dyDescent="0.2">
      <c r="A67" s="7" t="s">
        <v>22</v>
      </c>
    </row>
    <row r="68" spans="1:2" x14ac:dyDescent="0.2">
      <c r="A68" s="9" t="s">
        <v>84</v>
      </c>
      <c r="B68" s="9"/>
    </row>
    <row r="69" spans="1:2" x14ac:dyDescent="0.2">
      <c r="A69" s="7" t="s">
        <v>85</v>
      </c>
    </row>
    <row r="70" spans="1:2" x14ac:dyDescent="0.2">
      <c r="A70" s="7" t="s">
        <v>86</v>
      </c>
    </row>
    <row r="71" spans="1:2" x14ac:dyDescent="0.2">
      <c r="A71" s="7" t="s">
        <v>23</v>
      </c>
    </row>
    <row r="72" spans="1:2" x14ac:dyDescent="0.2">
      <c r="A72" s="7" t="s">
        <v>31</v>
      </c>
    </row>
    <row r="73" spans="1:2" x14ac:dyDescent="0.2">
      <c r="A73" s="9" t="s">
        <v>87</v>
      </c>
      <c r="B73" s="9"/>
    </row>
    <row r="74" spans="1:2" x14ac:dyDescent="0.2">
      <c r="A74" s="7" t="s">
        <v>88</v>
      </c>
    </row>
    <row r="75" spans="1:2" x14ac:dyDescent="0.2">
      <c r="A75" s="7" t="s">
        <v>89</v>
      </c>
    </row>
    <row r="76" spans="1:2" x14ac:dyDescent="0.2">
      <c r="A76" s="7" t="s">
        <v>90</v>
      </c>
    </row>
    <row r="77" spans="1:2" x14ac:dyDescent="0.2">
      <c r="A77" s="7" t="s">
        <v>22</v>
      </c>
    </row>
    <row r="78" spans="1:2" x14ac:dyDescent="0.2">
      <c r="A78" s="7" t="s">
        <v>91</v>
      </c>
    </row>
    <row r="79" spans="1:2" x14ac:dyDescent="0.2">
      <c r="A79" s="7" t="s">
        <v>23</v>
      </c>
    </row>
    <row r="80" spans="1:2" x14ac:dyDescent="0.2">
      <c r="A80" s="7" t="s">
        <v>92</v>
      </c>
    </row>
    <row r="81" spans="1:1" x14ac:dyDescent="0.2">
      <c r="A81" s="7" t="s">
        <v>93</v>
      </c>
    </row>
    <row r="82" spans="1:1" x14ac:dyDescent="0.2">
      <c r="A82" s="7" t="s">
        <v>94</v>
      </c>
    </row>
  </sheetData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A39C-E823-4ED1-B10B-CF96E4AA94E3}">
  <sheetPr codeName="Sheet1"/>
  <dimension ref="A1:AF51"/>
  <sheetViews>
    <sheetView topLeftCell="P1" zoomScale="83" workbookViewId="0">
      <selection activeCell="V16" sqref="V16"/>
    </sheetView>
  </sheetViews>
  <sheetFormatPr defaultRowHeight="15" x14ac:dyDescent="0.25"/>
  <cols>
    <col min="5" max="5" width="12.140625" bestFit="1" customWidth="1"/>
    <col min="6" max="6" width="15.42578125" bestFit="1" customWidth="1"/>
    <col min="7" max="7" width="12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2" x14ac:dyDescent="0.25">
      <c r="A1" s="33" t="s">
        <v>18</v>
      </c>
      <c r="B1" s="33"/>
      <c r="C1" s="33"/>
      <c r="D1" s="33"/>
      <c r="E1" s="33"/>
      <c r="F1" s="33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3" t="s">
        <v>95</v>
      </c>
      <c r="B2" s="33"/>
      <c r="C2" s="33"/>
      <c r="D2" s="33"/>
      <c r="E2" s="33"/>
      <c r="F2" s="3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0</v>
      </c>
      <c r="B3" s="1" t="s">
        <v>19</v>
      </c>
      <c r="C3" s="1" t="s">
        <v>20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>
        <v>1</v>
      </c>
      <c r="B4" s="1">
        <v>0</v>
      </c>
      <c r="C4" s="1">
        <v>500</v>
      </c>
      <c r="D4" s="12">
        <f>0.01*C4</f>
        <v>5</v>
      </c>
      <c r="E4" s="12">
        <v>5</v>
      </c>
      <c r="F4" s="1" t="s">
        <v>16</v>
      </c>
      <c r="G4" s="1">
        <v>1</v>
      </c>
      <c r="H4" s="1">
        <v>1</v>
      </c>
      <c r="I4" s="1">
        <v>1</v>
      </c>
      <c r="J4" s="1"/>
      <c r="K4" s="1"/>
      <c r="L4" s="1"/>
      <c r="M4" s="1"/>
      <c r="N4" s="1"/>
      <c r="O4" s="1"/>
      <c r="P4" s="1"/>
      <c r="Q4" s="1"/>
      <c r="R4" s="1">
        <v>1</v>
      </c>
      <c r="S4" s="19">
        <f>SUM(G4:R4)/12</f>
        <v>0.33333333333333331</v>
      </c>
      <c r="T4" s="20">
        <f>SUM('Normal BVT'!J4,'Normal BVT'!L4,'Normal BVT'!N4,'Normal BVT'!P4,'Normal BVT'!Q4,'Normal BVT'!R4)/6</f>
        <v>0.16666666666666666</v>
      </c>
      <c r="U4" s="34">
        <v>0.1</v>
      </c>
      <c r="V4" s="18">
        <f>R4/1</f>
        <v>1</v>
      </c>
      <c r="W4" s="1"/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1">
        <v>2</v>
      </c>
      <c r="B5" s="1">
        <v>1</v>
      </c>
      <c r="C5" s="1">
        <v>500</v>
      </c>
      <c r="D5" s="12">
        <f>0.01*C5</f>
        <v>5</v>
      </c>
      <c r="E5" s="12">
        <v>5</v>
      </c>
      <c r="F5" s="1" t="s">
        <v>16</v>
      </c>
      <c r="G5" s="1">
        <v>1</v>
      </c>
      <c r="H5" s="1">
        <v>1</v>
      </c>
      <c r="I5" s="1">
        <v>1</v>
      </c>
      <c r="J5" s="1"/>
      <c r="K5" s="1"/>
      <c r="L5" s="1"/>
      <c r="M5" s="1"/>
      <c r="N5" s="1"/>
      <c r="O5" s="1"/>
      <c r="P5" s="1"/>
      <c r="Q5" s="1"/>
      <c r="R5" s="1">
        <v>1</v>
      </c>
      <c r="S5" s="19">
        <f t="shared" ref="S5:S12" si="0">SUM(G5:R5)/12</f>
        <v>0.33333333333333331</v>
      </c>
      <c r="T5" s="20">
        <f>SUM('Normal BVT'!J5,'Normal BVT'!L5,'Normal BVT'!N5,'Normal BVT'!P5,'Normal BVT'!Q5,'Normal BVT'!R5)/6</f>
        <v>0.16666666666666666</v>
      </c>
      <c r="U5" s="34"/>
      <c r="V5" s="18">
        <f t="shared" ref="V5:V12" si="1">R5/1</f>
        <v>1</v>
      </c>
      <c r="W5" s="1"/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1">
        <v>3</v>
      </c>
      <c r="B6" s="1">
        <v>1</v>
      </c>
      <c r="C6" s="1">
        <v>5</v>
      </c>
      <c r="D6" s="12">
        <f>0.01*C6</f>
        <v>0.05</v>
      </c>
      <c r="E6" s="12">
        <v>0.05</v>
      </c>
      <c r="F6" s="1" t="s">
        <v>16</v>
      </c>
      <c r="G6" s="1">
        <v>1</v>
      </c>
      <c r="H6" s="1">
        <v>1</v>
      </c>
      <c r="I6" s="1">
        <v>1</v>
      </c>
      <c r="J6" s="1"/>
      <c r="K6" s="1"/>
      <c r="L6" s="1"/>
      <c r="M6" s="1"/>
      <c r="N6" s="1"/>
      <c r="O6" s="1"/>
      <c r="P6" s="1"/>
      <c r="Q6" s="1"/>
      <c r="R6" s="1">
        <v>1</v>
      </c>
      <c r="S6" s="19">
        <f t="shared" si="0"/>
        <v>0.33333333333333331</v>
      </c>
      <c r="T6" s="20">
        <f>SUM('Normal BVT'!J6,'Normal BVT'!L6,'Normal BVT'!N6,'Normal BVT'!P6,'Normal BVT'!Q6,'Normal BVT'!R6)/6</f>
        <v>0.16666666666666666</v>
      </c>
      <c r="U6" s="34"/>
      <c r="V6" s="18">
        <f t="shared" si="1"/>
        <v>1</v>
      </c>
      <c r="W6" s="1"/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1">
        <v>4</v>
      </c>
      <c r="B7" s="1">
        <v>4</v>
      </c>
      <c r="C7" s="1">
        <v>6</v>
      </c>
      <c r="D7" s="12">
        <f>0.015*C7</f>
        <v>0.09</v>
      </c>
      <c r="E7" s="12">
        <v>0.09</v>
      </c>
      <c r="F7" s="1" t="s">
        <v>16</v>
      </c>
      <c r="G7" s="1">
        <v>1</v>
      </c>
      <c r="H7" s="1">
        <v>1</v>
      </c>
      <c r="I7" s="1"/>
      <c r="J7" s="1">
        <v>1</v>
      </c>
      <c r="K7" s="1">
        <v>1</v>
      </c>
      <c r="L7" s="1"/>
      <c r="M7" s="1"/>
      <c r="N7" s="1"/>
      <c r="O7" s="1"/>
      <c r="P7" s="1"/>
      <c r="Q7" s="1"/>
      <c r="R7" s="1">
        <v>1</v>
      </c>
      <c r="S7" s="19">
        <f t="shared" si="0"/>
        <v>0.41666666666666669</v>
      </c>
      <c r="T7" s="20">
        <f>SUM('Normal BVT'!J7,'Normal BVT'!L7,'Normal BVT'!N7,'Normal BVT'!P7,'Normal BVT'!Q7,'Normal BVT'!R7)/6</f>
        <v>0.33333333333333331</v>
      </c>
      <c r="U7" s="34">
        <v>0.1</v>
      </c>
      <c r="V7" s="18">
        <f t="shared" si="1"/>
        <v>1</v>
      </c>
      <c r="W7" s="1"/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1">
        <v>5</v>
      </c>
      <c r="B8" s="1">
        <v>4</v>
      </c>
      <c r="C8" s="1">
        <v>500</v>
      </c>
      <c r="D8" s="12">
        <f>0.015*C8</f>
        <v>7.5</v>
      </c>
      <c r="E8" s="12">
        <v>7.5</v>
      </c>
      <c r="F8" s="1" t="s">
        <v>16</v>
      </c>
      <c r="G8" s="1">
        <v>1</v>
      </c>
      <c r="H8" s="1">
        <v>1</v>
      </c>
      <c r="I8" s="1"/>
      <c r="J8" s="1">
        <v>1</v>
      </c>
      <c r="K8" s="1">
        <v>1</v>
      </c>
      <c r="L8" s="1"/>
      <c r="M8" s="1"/>
      <c r="N8" s="1"/>
      <c r="O8" s="1"/>
      <c r="P8" s="1"/>
      <c r="Q8" s="1"/>
      <c r="R8" s="1">
        <v>1</v>
      </c>
      <c r="S8" s="19">
        <f t="shared" si="0"/>
        <v>0.41666666666666669</v>
      </c>
      <c r="T8" s="20">
        <f>SUM('Normal BVT'!J8,'Normal BVT'!L8,'Normal BVT'!N8,'Normal BVT'!P8,'Normal BVT'!Q8,'Normal BVT'!R8)/6</f>
        <v>0.33333333333333331</v>
      </c>
      <c r="U8" s="34"/>
      <c r="V8" s="18">
        <f t="shared" si="1"/>
        <v>1</v>
      </c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1">
        <v>6</v>
      </c>
      <c r="B9" s="1">
        <v>8</v>
      </c>
      <c r="C9" s="1">
        <v>999</v>
      </c>
      <c r="D9" s="12">
        <f t="shared" ref="D9:D10" si="2">0.02*C9</f>
        <v>19.98</v>
      </c>
      <c r="E9" s="12">
        <v>19.98</v>
      </c>
      <c r="F9" s="1" t="s">
        <v>16</v>
      </c>
      <c r="G9" s="1">
        <v>1</v>
      </c>
      <c r="H9" s="1">
        <v>1</v>
      </c>
      <c r="I9" s="1"/>
      <c r="J9" s="1">
        <v>1</v>
      </c>
      <c r="K9" s="1"/>
      <c r="L9" s="1">
        <v>1</v>
      </c>
      <c r="M9" s="1">
        <v>1</v>
      </c>
      <c r="N9" s="1"/>
      <c r="O9" s="1"/>
      <c r="P9" s="1"/>
      <c r="Q9" s="1"/>
      <c r="R9" s="1">
        <v>1</v>
      </c>
      <c r="S9" s="19">
        <f t="shared" si="0"/>
        <v>0.5</v>
      </c>
      <c r="T9" s="20">
        <f>SUM('Normal BVT'!J9,'Normal BVT'!L9,'Normal BVT'!N9,'Normal BVT'!P9,'Normal BVT'!Q9,'Normal BVT'!R9)/6</f>
        <v>0.5</v>
      </c>
      <c r="U9" s="34">
        <v>0.1</v>
      </c>
      <c r="V9" s="18">
        <f t="shared" si="1"/>
        <v>1</v>
      </c>
      <c r="W9" s="1"/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1">
        <v>7</v>
      </c>
      <c r="B10" s="1">
        <v>10</v>
      </c>
      <c r="C10" s="1">
        <v>1000</v>
      </c>
      <c r="D10" s="12">
        <f t="shared" si="2"/>
        <v>20</v>
      </c>
      <c r="E10" s="12">
        <v>20</v>
      </c>
      <c r="F10" s="1" t="s">
        <v>16</v>
      </c>
      <c r="G10" s="1">
        <v>1</v>
      </c>
      <c r="H10" s="1">
        <v>1</v>
      </c>
      <c r="I10" s="1"/>
      <c r="J10" s="1">
        <v>1</v>
      </c>
      <c r="K10" s="1"/>
      <c r="L10" s="1">
        <v>1</v>
      </c>
      <c r="M10" s="1">
        <v>1</v>
      </c>
      <c r="N10" s="1"/>
      <c r="O10" s="1"/>
      <c r="P10" s="1"/>
      <c r="Q10" s="1"/>
      <c r="R10" s="1">
        <v>1</v>
      </c>
      <c r="S10" s="19">
        <f t="shared" si="0"/>
        <v>0.5</v>
      </c>
      <c r="T10" s="20">
        <f>SUM('Normal BVT'!J10,'Normal BVT'!L10,'Normal BVT'!N10,'Normal BVT'!P10,'Normal BVT'!Q10,'Normal BVT'!R10)/6</f>
        <v>0.5</v>
      </c>
      <c r="U10" s="34"/>
      <c r="V10" s="18">
        <f t="shared" si="1"/>
        <v>1</v>
      </c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>
        <v>8</v>
      </c>
      <c r="B11" s="1">
        <v>19</v>
      </c>
      <c r="C11" s="1">
        <v>500</v>
      </c>
      <c r="D11" s="12">
        <f>0.025*C11</f>
        <v>12.5</v>
      </c>
      <c r="E11" s="12">
        <v>12.5</v>
      </c>
      <c r="F11" s="1" t="s">
        <v>16</v>
      </c>
      <c r="G11" s="1">
        <v>1</v>
      </c>
      <c r="H11" s="1">
        <v>1</v>
      </c>
      <c r="I11" s="1"/>
      <c r="J11" s="1">
        <v>1</v>
      </c>
      <c r="K11" s="1"/>
      <c r="L11" s="1">
        <v>1</v>
      </c>
      <c r="M11" s="1"/>
      <c r="N11" s="1">
        <v>1</v>
      </c>
      <c r="O11" s="1">
        <v>1</v>
      </c>
      <c r="P11" s="1"/>
      <c r="Q11" s="1"/>
      <c r="R11" s="1">
        <v>1</v>
      </c>
      <c r="S11" s="19">
        <f t="shared" si="0"/>
        <v>0.58333333333333337</v>
      </c>
      <c r="T11" s="20">
        <f>SUM('Normal BVT'!J11,'Normal BVT'!L11,'Normal BVT'!N11,'Normal BVT'!P11,'Normal BVT'!Q11,'Normal BVT'!R11)/6</f>
        <v>0.66666666666666663</v>
      </c>
      <c r="U11" s="34">
        <v>0.1</v>
      </c>
      <c r="V11" s="18">
        <f t="shared" si="1"/>
        <v>1</v>
      </c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>
        <v>9</v>
      </c>
      <c r="B12" s="1">
        <v>20</v>
      </c>
      <c r="C12" s="1">
        <v>500</v>
      </c>
      <c r="D12" s="12">
        <f>0.025*C12</f>
        <v>12.5</v>
      </c>
      <c r="E12" s="12">
        <v>12.5</v>
      </c>
      <c r="F12" s="1" t="s">
        <v>16</v>
      </c>
      <c r="G12" s="1">
        <v>1</v>
      </c>
      <c r="H12" s="1">
        <v>1</v>
      </c>
      <c r="I12" s="1"/>
      <c r="J12" s="1">
        <v>1</v>
      </c>
      <c r="K12" s="1"/>
      <c r="L12" s="1">
        <v>1</v>
      </c>
      <c r="M12" s="1"/>
      <c r="N12" s="1">
        <v>1</v>
      </c>
      <c r="O12" s="1">
        <v>1</v>
      </c>
      <c r="P12" s="1"/>
      <c r="Q12" s="1"/>
      <c r="R12" s="1">
        <v>1</v>
      </c>
      <c r="S12" s="19">
        <f t="shared" si="0"/>
        <v>0.58333333333333337</v>
      </c>
      <c r="T12" s="20">
        <f>SUM('Normal BVT'!J12,'Normal BVT'!L12,'Normal BVT'!N12,'Normal BVT'!P12,'Normal BVT'!Q12,'Normal BVT'!R12)/6</f>
        <v>0.66666666666666663</v>
      </c>
      <c r="U12" s="34"/>
      <c r="V12" s="18">
        <f t="shared" si="1"/>
        <v>1</v>
      </c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1">
        <v>9999</v>
      </c>
      <c r="B13" s="1"/>
      <c r="C13" s="1"/>
      <c r="D13" s="1"/>
      <c r="E13" s="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9"/>
      <c r="T13" s="1"/>
      <c r="U13" s="20"/>
      <c r="V13" s="18"/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1"/>
      <c r="B14" s="1"/>
      <c r="C14" s="1"/>
      <c r="D14" s="1"/>
      <c r="E14" s="6"/>
      <c r="F14" s="1" t="s">
        <v>110</v>
      </c>
      <c r="G14" s="1">
        <f>SUM(G4:G12)</f>
        <v>9</v>
      </c>
      <c r="H14" s="1">
        <f t="shared" ref="H14:R14" si="3">SUM(H4:H12)</f>
        <v>9</v>
      </c>
      <c r="I14" s="1">
        <f t="shared" si="3"/>
        <v>3</v>
      </c>
      <c r="J14" s="1">
        <f t="shared" si="3"/>
        <v>6</v>
      </c>
      <c r="K14" s="1">
        <f t="shared" si="3"/>
        <v>2</v>
      </c>
      <c r="L14" s="1">
        <f t="shared" si="3"/>
        <v>4</v>
      </c>
      <c r="M14" s="1">
        <f t="shared" si="3"/>
        <v>2</v>
      </c>
      <c r="N14" s="1">
        <f t="shared" si="3"/>
        <v>2</v>
      </c>
      <c r="O14" s="1">
        <f t="shared" si="3"/>
        <v>2</v>
      </c>
      <c r="P14" s="1">
        <f t="shared" si="3"/>
        <v>0</v>
      </c>
      <c r="Q14" s="1">
        <f t="shared" si="3"/>
        <v>0</v>
      </c>
      <c r="R14" s="1">
        <f t="shared" si="3"/>
        <v>9</v>
      </c>
      <c r="S14" s="20">
        <f>COUNTIF(G14:R14,"&gt;0")/12</f>
        <v>0.83333333333333337</v>
      </c>
      <c r="T14" s="20">
        <f>SUM(COUNTIF(J14,"&gt;0"),COUNTIF(L14,"&gt;0"),COUNTIF(N14,"&gt;0"),COUNTIF(P14,"&gt;0"),COUNTIF(Q14,"&gt;0"),COUNTIF(R14,"&gt;0"))/6</f>
        <v>0.66666666666666663</v>
      </c>
      <c r="U14" s="20">
        <f>SUM(U4:U12)</f>
        <v>0.4</v>
      </c>
      <c r="V14" s="18">
        <f>COUNTIF(R14,"&gt;0")/1</f>
        <v>1</v>
      </c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33" t="s">
        <v>133</v>
      </c>
      <c r="B15" s="33"/>
      <c r="C15" s="33"/>
      <c r="D15" s="33"/>
      <c r="E15" s="33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20"/>
      <c r="T15" s="20"/>
      <c r="U15" s="1"/>
      <c r="V15" s="18"/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1" t="s">
        <v>122</v>
      </c>
      <c r="B16" s="1" t="s">
        <v>123</v>
      </c>
      <c r="C16" s="1" t="s">
        <v>124</v>
      </c>
      <c r="D16" s="1" t="s">
        <v>125</v>
      </c>
      <c r="E16" s="15" t="s">
        <v>126</v>
      </c>
      <c r="F16" s="1"/>
      <c r="G16" s="15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1" t="s">
        <v>115</v>
      </c>
      <c r="B17" s="1" t="s">
        <v>116</v>
      </c>
      <c r="C17" s="1" t="s">
        <v>117</v>
      </c>
      <c r="D17" s="1" t="s">
        <v>118</v>
      </c>
      <c r="E17" s="15" t="s">
        <v>119</v>
      </c>
      <c r="F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25" t="s">
        <v>120</v>
      </c>
      <c r="B18" s="25" t="s">
        <v>121</v>
      </c>
      <c r="C18" s="25" t="s">
        <v>121</v>
      </c>
      <c r="D18" s="25" t="s">
        <v>121</v>
      </c>
      <c r="E18" s="26" t="s">
        <v>120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21" t="s">
        <v>120</v>
      </c>
      <c r="B19" s="21" t="s">
        <v>121</v>
      </c>
      <c r="C19" s="21" t="s">
        <v>121</v>
      </c>
      <c r="D19" s="21" t="s">
        <v>121</v>
      </c>
      <c r="E19" s="22" t="s">
        <v>121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25" t="s">
        <v>121</v>
      </c>
      <c r="B20" s="25" t="s">
        <v>120</v>
      </c>
      <c r="C20" s="25" t="s">
        <v>121</v>
      </c>
      <c r="D20" s="25" t="s">
        <v>121</v>
      </c>
      <c r="E20" s="26" t="s">
        <v>120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21" t="s">
        <v>121</v>
      </c>
      <c r="B21" s="21" t="s">
        <v>120</v>
      </c>
      <c r="C21" s="21" t="s">
        <v>121</v>
      </c>
      <c r="D21" s="21" t="s">
        <v>121</v>
      </c>
      <c r="E21" s="22" t="s">
        <v>121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5" t="s">
        <v>121</v>
      </c>
      <c r="B22" s="25" t="s">
        <v>121</v>
      </c>
      <c r="C22" s="25" t="s">
        <v>120</v>
      </c>
      <c r="D22" s="25" t="s">
        <v>121</v>
      </c>
      <c r="E22" s="26" t="s">
        <v>120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21" t="s">
        <v>121</v>
      </c>
      <c r="B23" s="21" t="s">
        <v>121</v>
      </c>
      <c r="C23" s="21" t="s">
        <v>120</v>
      </c>
      <c r="D23" s="21" t="s">
        <v>121</v>
      </c>
      <c r="E23" s="22" t="s">
        <v>121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25" t="s">
        <v>121</v>
      </c>
      <c r="B24" s="25" t="s">
        <v>121</v>
      </c>
      <c r="C24" s="25" t="s">
        <v>121</v>
      </c>
      <c r="D24" s="25" t="s">
        <v>120</v>
      </c>
      <c r="E24" s="26" t="s">
        <v>120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21" t="s">
        <v>121</v>
      </c>
      <c r="B25" s="21" t="s">
        <v>121</v>
      </c>
      <c r="C25" s="21" t="s">
        <v>121</v>
      </c>
      <c r="D25" s="21" t="s">
        <v>120</v>
      </c>
      <c r="E25" s="22" t="s">
        <v>121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21" t="s">
        <v>121</v>
      </c>
      <c r="B26" s="21" t="s">
        <v>121</v>
      </c>
      <c r="C26" s="21" t="s">
        <v>121</v>
      </c>
      <c r="D26" s="21" t="s">
        <v>121</v>
      </c>
      <c r="E26" s="24" t="s">
        <v>120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21" t="s">
        <v>121</v>
      </c>
      <c r="B27" s="21" t="s">
        <v>121</v>
      </c>
      <c r="C27" s="21" t="s">
        <v>121</v>
      </c>
      <c r="D27" s="23" t="s">
        <v>121</v>
      </c>
      <c r="E27" s="24" t="s">
        <v>121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1"/>
      <c r="B31" s="1"/>
      <c r="C31" s="1"/>
      <c r="D31" s="2"/>
      <c r="E31" s="2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1"/>
      <c r="B32" s="1"/>
      <c r="C32" s="1"/>
      <c r="D32" s="2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1"/>
      <c r="B35" s="1"/>
      <c r="C35" s="1"/>
      <c r="D35" s="5"/>
      <c r="E35" s="2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1"/>
      <c r="B36" s="1"/>
      <c r="C36" s="1"/>
      <c r="D36" s="2"/>
      <c r="E36" s="2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1"/>
      <c r="B37" s="1"/>
      <c r="C37" s="1"/>
      <c r="D37" s="2"/>
      <c r="E37" s="2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1"/>
      <c r="B40" s="1"/>
      <c r="C40" s="1"/>
      <c r="D40" s="5"/>
      <c r="E40" s="2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1"/>
      <c r="B41" s="1"/>
      <c r="C41" s="1"/>
      <c r="D41" s="2"/>
      <c r="E41" s="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1"/>
      <c r="B42" s="1"/>
      <c r="C42" s="1"/>
      <c r="D42" s="2"/>
      <c r="E42" s="2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1"/>
      <c r="B44" s="1"/>
      <c r="C44" s="1"/>
      <c r="D44" s="2"/>
      <c r="E44" s="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1"/>
      <c r="B45" s="1"/>
      <c r="C45" s="1"/>
      <c r="D45" s="5"/>
      <c r="E45" s="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1"/>
      <c r="B46" s="1"/>
      <c r="C46" s="1"/>
      <c r="D46" s="2"/>
      <c r="E46" s="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1"/>
      <c r="B47" s="1"/>
      <c r="C47" s="1"/>
      <c r="D47" s="2"/>
      <c r="E47" s="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1"/>
      <c r="B50" s="1"/>
      <c r="C50" s="1"/>
      <c r="D50" s="5"/>
      <c r="E50" s="2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</sheetData>
  <mergeCells count="7">
    <mergeCell ref="A1:F1"/>
    <mergeCell ref="A2:F2"/>
    <mergeCell ref="A15:E15"/>
    <mergeCell ref="U4:U6"/>
    <mergeCell ref="U7:U8"/>
    <mergeCell ref="U9:U10"/>
    <mergeCell ref="U11:U12"/>
  </mergeCells>
  <conditionalFormatting sqref="F4:F50">
    <cfRule type="containsText" dxfId="73" priority="1" operator="containsText" text="fail">
      <formula>NOT(ISERROR(SEARCH("fail",F4)))</formula>
    </cfRule>
    <cfRule type="containsText" dxfId="72" priority="2" operator="containsText" text="pass">
      <formula>NOT(ISERROR(SEARCH("pass",F4)))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10</xdr:col>
                <xdr:colOff>419100</xdr:colOff>
                <xdr:row>2</xdr:row>
                <xdr:rowOff>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137D-5140-4964-A2F1-DDD8302A7064}">
  <sheetPr codeName="Sheet2"/>
  <dimension ref="A1:AF51"/>
  <sheetViews>
    <sheetView topLeftCell="P1" zoomScale="83" workbookViewId="0">
      <selection activeCell="A19" sqref="A19:E19"/>
    </sheetView>
  </sheetViews>
  <sheetFormatPr defaultRowHeight="15" x14ac:dyDescent="0.25"/>
  <cols>
    <col min="4" max="4" width="10" bestFit="1" customWidth="1"/>
    <col min="5" max="5" width="12.140625" bestFit="1" customWidth="1"/>
    <col min="6" max="6" width="15.425781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2" x14ac:dyDescent="0.25">
      <c r="A1" s="33" t="s">
        <v>18</v>
      </c>
      <c r="B1" s="33"/>
      <c r="C1" s="33"/>
      <c r="D1" s="33"/>
      <c r="E1" s="33"/>
      <c r="F1" s="33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3" t="s">
        <v>96</v>
      </c>
      <c r="B2" s="33"/>
      <c r="C2" s="33"/>
      <c r="D2" s="33"/>
      <c r="E2" s="33"/>
      <c r="F2" s="3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0</v>
      </c>
      <c r="B3" s="1" t="s">
        <v>19</v>
      </c>
      <c r="C3" s="1" t="s">
        <v>20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>
        <v>1</v>
      </c>
      <c r="B4" s="1">
        <v>-1</v>
      </c>
      <c r="C4" s="1">
        <v>500</v>
      </c>
      <c r="D4" s="1" t="s">
        <v>17</v>
      </c>
      <c r="E4" s="1" t="s">
        <v>17</v>
      </c>
      <c r="F4" s="1" t="s">
        <v>16</v>
      </c>
      <c r="G4" s="1">
        <v>1</v>
      </c>
      <c r="H4" s="1">
        <v>1</v>
      </c>
      <c r="I4" s="1"/>
      <c r="J4" s="1">
        <v>1</v>
      </c>
      <c r="K4" s="1"/>
      <c r="L4" s="1">
        <v>1</v>
      </c>
      <c r="M4" s="1"/>
      <c r="N4" s="1">
        <v>1</v>
      </c>
      <c r="O4" s="1"/>
      <c r="P4" s="1">
        <v>1</v>
      </c>
      <c r="Q4" s="1"/>
      <c r="R4" s="1">
        <v>1</v>
      </c>
      <c r="S4" s="19">
        <f>SUM(G4:R4)/12</f>
        <v>0.58333333333333337</v>
      </c>
      <c r="T4" s="20">
        <f>SUM(J4,L4,N4,P4,Q4,R4)/6</f>
        <v>0.83333333333333337</v>
      </c>
      <c r="U4" s="20">
        <v>0.1</v>
      </c>
      <c r="V4" s="18">
        <f>R4/1</f>
        <v>1</v>
      </c>
      <c r="W4" s="1"/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1">
        <v>2</v>
      </c>
      <c r="B5" s="1">
        <v>0</v>
      </c>
      <c r="C5" s="1">
        <v>500</v>
      </c>
      <c r="D5" s="12">
        <f>0.01*C5</f>
        <v>5</v>
      </c>
      <c r="E5" s="12">
        <v>5</v>
      </c>
      <c r="F5" s="1" t="s">
        <v>16</v>
      </c>
      <c r="G5" s="1">
        <v>1</v>
      </c>
      <c r="H5" s="1">
        <v>1</v>
      </c>
      <c r="I5" s="1">
        <v>1</v>
      </c>
      <c r="J5" s="1"/>
      <c r="K5" s="1"/>
      <c r="L5" s="1"/>
      <c r="M5" s="1"/>
      <c r="N5" s="1"/>
      <c r="O5" s="1"/>
      <c r="P5" s="1"/>
      <c r="Q5" s="1"/>
      <c r="R5" s="1">
        <v>1</v>
      </c>
      <c r="S5" s="19">
        <f t="shared" ref="S5:S16" si="0">SUM(G5:R5)/12</f>
        <v>0.33333333333333331</v>
      </c>
      <c r="T5" s="20">
        <f t="shared" ref="T5:T16" si="1">SUM(J5,L5,N5,P5,Q5,R5)/6</f>
        <v>0.16666666666666666</v>
      </c>
      <c r="U5" s="35">
        <v>0.1</v>
      </c>
      <c r="V5" s="18">
        <f t="shared" ref="V5:V16" si="2">R5/1</f>
        <v>1</v>
      </c>
      <c r="W5" s="1"/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1">
        <v>3</v>
      </c>
      <c r="B6" s="1">
        <v>1</v>
      </c>
      <c r="C6" s="1">
        <v>500</v>
      </c>
      <c r="D6" s="12">
        <f>0.01*C6</f>
        <v>5</v>
      </c>
      <c r="E6" s="12">
        <v>5</v>
      </c>
      <c r="F6" s="1" t="s">
        <v>16</v>
      </c>
      <c r="G6" s="1">
        <v>1</v>
      </c>
      <c r="H6" s="1">
        <v>1</v>
      </c>
      <c r="I6" s="1">
        <v>1</v>
      </c>
      <c r="J6" s="1"/>
      <c r="K6" s="1"/>
      <c r="L6" s="1"/>
      <c r="M6" s="1"/>
      <c r="N6" s="1"/>
      <c r="O6" s="1"/>
      <c r="P6" s="1"/>
      <c r="Q6" s="1"/>
      <c r="R6" s="1">
        <v>1</v>
      </c>
      <c r="S6" s="19">
        <f t="shared" si="0"/>
        <v>0.33333333333333331</v>
      </c>
      <c r="T6" s="20">
        <f t="shared" si="1"/>
        <v>0.16666666666666666</v>
      </c>
      <c r="U6" s="35"/>
      <c r="V6" s="18">
        <f t="shared" si="2"/>
        <v>1</v>
      </c>
      <c r="W6" s="1"/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1">
        <v>4</v>
      </c>
      <c r="B7" s="1">
        <v>1</v>
      </c>
      <c r="C7" s="1">
        <v>4</v>
      </c>
      <c r="D7" s="12" t="s">
        <v>17</v>
      </c>
      <c r="E7" s="12" t="s">
        <v>17</v>
      </c>
      <c r="F7" s="1" t="s">
        <v>16</v>
      </c>
      <c r="G7" s="1">
        <v>1</v>
      </c>
      <c r="H7" s="1"/>
      <c r="I7" s="1"/>
      <c r="J7" s="1"/>
      <c r="K7" s="1"/>
      <c r="L7" s="1"/>
      <c r="M7" s="1"/>
      <c r="N7" s="1"/>
      <c r="O7" s="1"/>
      <c r="P7" s="1"/>
      <c r="Q7" s="1">
        <v>1</v>
      </c>
      <c r="R7" s="1">
        <v>1</v>
      </c>
      <c r="S7" s="19">
        <f t="shared" si="0"/>
        <v>0.25</v>
      </c>
      <c r="T7" s="20">
        <f t="shared" si="1"/>
        <v>0.33333333333333331</v>
      </c>
      <c r="U7" s="27">
        <v>0.1</v>
      </c>
      <c r="V7" s="18">
        <f t="shared" si="2"/>
        <v>1</v>
      </c>
      <c r="W7" s="1"/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1">
        <v>5</v>
      </c>
      <c r="B8" s="1">
        <v>4</v>
      </c>
      <c r="C8" s="1">
        <v>5</v>
      </c>
      <c r="D8" s="12">
        <f>0.015*C8</f>
        <v>7.4999999999999997E-2</v>
      </c>
      <c r="E8" s="12">
        <v>7.4999999999999997E-2</v>
      </c>
      <c r="F8" s="1" t="s">
        <v>16</v>
      </c>
      <c r="G8" s="1">
        <v>1</v>
      </c>
      <c r="H8" s="1">
        <v>1</v>
      </c>
      <c r="I8" s="1"/>
      <c r="J8" s="1">
        <v>1</v>
      </c>
      <c r="K8" s="1">
        <v>1</v>
      </c>
      <c r="L8" s="1"/>
      <c r="M8" s="1"/>
      <c r="N8" s="1"/>
      <c r="O8" s="1"/>
      <c r="P8" s="1"/>
      <c r="Q8" s="1"/>
      <c r="R8" s="1">
        <v>1</v>
      </c>
      <c r="S8" s="19">
        <f t="shared" si="0"/>
        <v>0.41666666666666669</v>
      </c>
      <c r="T8" s="20">
        <f t="shared" si="1"/>
        <v>0.33333333333333331</v>
      </c>
      <c r="U8" s="35">
        <v>0.1</v>
      </c>
      <c r="V8" s="18">
        <f t="shared" si="2"/>
        <v>1</v>
      </c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1">
        <v>6</v>
      </c>
      <c r="B9" s="1">
        <v>4</v>
      </c>
      <c r="C9" s="1">
        <v>6</v>
      </c>
      <c r="D9" s="12">
        <f>0.015*C9</f>
        <v>0.09</v>
      </c>
      <c r="E9" s="12">
        <v>0.09</v>
      </c>
      <c r="F9" s="1" t="s">
        <v>16</v>
      </c>
      <c r="G9" s="1">
        <v>1</v>
      </c>
      <c r="H9" s="1">
        <v>1</v>
      </c>
      <c r="I9" s="1"/>
      <c r="J9" s="1">
        <v>1</v>
      </c>
      <c r="K9" s="1">
        <v>1</v>
      </c>
      <c r="L9" s="1"/>
      <c r="M9" s="1"/>
      <c r="N9" s="1"/>
      <c r="O9" s="1"/>
      <c r="P9" s="1"/>
      <c r="Q9" s="1"/>
      <c r="R9" s="1">
        <v>1</v>
      </c>
      <c r="S9" s="19">
        <f t="shared" si="0"/>
        <v>0.41666666666666669</v>
      </c>
      <c r="T9" s="20">
        <f t="shared" si="1"/>
        <v>0.33333333333333331</v>
      </c>
      <c r="U9" s="35"/>
      <c r="V9" s="18">
        <f t="shared" si="2"/>
        <v>1</v>
      </c>
      <c r="W9" s="1"/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1">
        <v>7</v>
      </c>
      <c r="B10" s="1">
        <v>8</v>
      </c>
      <c r="C10" s="1">
        <v>500</v>
      </c>
      <c r="D10" s="12">
        <f t="shared" ref="D10:D12" si="3">0.02*C10</f>
        <v>10</v>
      </c>
      <c r="E10" s="12">
        <v>10</v>
      </c>
      <c r="F10" s="1" t="s">
        <v>16</v>
      </c>
      <c r="G10" s="1">
        <v>1</v>
      </c>
      <c r="H10" s="1">
        <v>1</v>
      </c>
      <c r="I10" s="1"/>
      <c r="J10" s="1">
        <v>1</v>
      </c>
      <c r="K10" s="1"/>
      <c r="L10" s="1">
        <v>1</v>
      </c>
      <c r="M10" s="1">
        <v>1</v>
      </c>
      <c r="N10" s="1"/>
      <c r="O10" s="1"/>
      <c r="P10" s="1"/>
      <c r="Q10" s="1"/>
      <c r="R10" s="1">
        <v>1</v>
      </c>
      <c r="S10" s="19">
        <f t="shared" si="0"/>
        <v>0.5</v>
      </c>
      <c r="T10" s="20">
        <f t="shared" si="1"/>
        <v>0.5</v>
      </c>
      <c r="U10" s="35">
        <v>0.1</v>
      </c>
      <c r="V10" s="18">
        <f t="shared" si="2"/>
        <v>1</v>
      </c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>
        <v>8</v>
      </c>
      <c r="B11" s="1">
        <v>8</v>
      </c>
      <c r="C11" s="1">
        <v>999</v>
      </c>
      <c r="D11" s="12">
        <f t="shared" si="3"/>
        <v>19.98</v>
      </c>
      <c r="E11" s="12">
        <v>19.98</v>
      </c>
      <c r="F11" s="1" t="s">
        <v>16</v>
      </c>
      <c r="G11" s="1">
        <v>1</v>
      </c>
      <c r="H11" s="1">
        <v>1</v>
      </c>
      <c r="I11" s="1"/>
      <c r="J11" s="1">
        <v>1</v>
      </c>
      <c r="K11" s="1"/>
      <c r="L11" s="1">
        <v>1</v>
      </c>
      <c r="M11" s="1">
        <v>1</v>
      </c>
      <c r="N11" s="1"/>
      <c r="O11" s="1"/>
      <c r="P11" s="1"/>
      <c r="Q11" s="1"/>
      <c r="R11" s="1">
        <v>1</v>
      </c>
      <c r="S11" s="19">
        <f t="shared" si="0"/>
        <v>0.5</v>
      </c>
      <c r="T11" s="20">
        <f t="shared" si="1"/>
        <v>0.5</v>
      </c>
      <c r="U11" s="35"/>
      <c r="V11" s="18">
        <f t="shared" si="2"/>
        <v>1</v>
      </c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>
        <v>9</v>
      </c>
      <c r="B12" s="1">
        <v>10</v>
      </c>
      <c r="C12" s="1">
        <v>1000</v>
      </c>
      <c r="D12" s="12">
        <f t="shared" si="3"/>
        <v>20</v>
      </c>
      <c r="E12" s="12">
        <v>20</v>
      </c>
      <c r="F12" s="1" t="s">
        <v>16</v>
      </c>
      <c r="G12" s="1">
        <v>1</v>
      </c>
      <c r="H12" s="1">
        <v>1</v>
      </c>
      <c r="I12" s="1"/>
      <c r="J12" s="1">
        <v>1</v>
      </c>
      <c r="K12" s="1"/>
      <c r="L12" s="1">
        <v>1</v>
      </c>
      <c r="M12" s="1">
        <v>1</v>
      </c>
      <c r="N12" s="1"/>
      <c r="O12" s="1"/>
      <c r="P12" s="1"/>
      <c r="Q12" s="1"/>
      <c r="R12" s="1">
        <v>1</v>
      </c>
      <c r="S12" s="19">
        <f t="shared" si="0"/>
        <v>0.5</v>
      </c>
      <c r="T12" s="20">
        <f t="shared" si="1"/>
        <v>0.5</v>
      </c>
      <c r="U12" s="35"/>
      <c r="V12" s="18">
        <f t="shared" si="2"/>
        <v>1</v>
      </c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1">
        <v>10</v>
      </c>
      <c r="B13" s="1">
        <v>10</v>
      </c>
      <c r="C13" s="1">
        <v>1001</v>
      </c>
      <c r="D13" s="12" t="s">
        <v>17</v>
      </c>
      <c r="E13" s="12" t="s">
        <v>17</v>
      </c>
      <c r="F13" s="1" t="s">
        <v>16</v>
      </c>
      <c r="G13" s="1">
        <v>1</v>
      </c>
      <c r="H13" s="1"/>
      <c r="I13" s="1"/>
      <c r="J13" s="1"/>
      <c r="K13" s="1"/>
      <c r="L13" s="1"/>
      <c r="M13" s="1"/>
      <c r="N13" s="1"/>
      <c r="O13" s="1"/>
      <c r="P13" s="1"/>
      <c r="Q13" s="1">
        <v>1</v>
      </c>
      <c r="R13" s="1">
        <v>1</v>
      </c>
      <c r="S13" s="19">
        <f t="shared" si="0"/>
        <v>0.25</v>
      </c>
      <c r="T13" s="20">
        <f t="shared" si="1"/>
        <v>0.33333333333333331</v>
      </c>
      <c r="U13" s="27">
        <v>0.1</v>
      </c>
      <c r="V13" s="18">
        <f t="shared" si="2"/>
        <v>1</v>
      </c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1">
        <v>11</v>
      </c>
      <c r="B14" s="1">
        <v>19</v>
      </c>
      <c r="C14" s="1">
        <v>500</v>
      </c>
      <c r="D14" s="12">
        <f>0.025*C14</f>
        <v>12.5</v>
      </c>
      <c r="E14" s="12">
        <v>12.5</v>
      </c>
      <c r="F14" s="1" t="s">
        <v>16</v>
      </c>
      <c r="G14" s="1">
        <v>1</v>
      </c>
      <c r="H14" s="1">
        <v>1</v>
      </c>
      <c r="I14" s="1"/>
      <c r="J14" s="1">
        <v>1</v>
      </c>
      <c r="K14" s="1"/>
      <c r="L14" s="1">
        <v>1</v>
      </c>
      <c r="M14" s="1"/>
      <c r="N14" s="1">
        <v>1</v>
      </c>
      <c r="O14" s="1">
        <v>1</v>
      </c>
      <c r="P14" s="1"/>
      <c r="Q14" s="1"/>
      <c r="R14" s="1">
        <v>1</v>
      </c>
      <c r="S14" s="19">
        <f t="shared" si="0"/>
        <v>0.58333333333333337</v>
      </c>
      <c r="T14" s="20">
        <f t="shared" si="1"/>
        <v>0.66666666666666663</v>
      </c>
      <c r="U14" s="35">
        <v>0.1</v>
      </c>
      <c r="V14" s="18">
        <f t="shared" si="2"/>
        <v>1</v>
      </c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1">
        <v>12</v>
      </c>
      <c r="B15" s="1">
        <v>20</v>
      </c>
      <c r="C15" s="1">
        <v>500</v>
      </c>
      <c r="D15" s="12">
        <f>0.025*C15</f>
        <v>12.5</v>
      </c>
      <c r="E15" s="12">
        <v>12.5</v>
      </c>
      <c r="F15" s="1" t="s">
        <v>16</v>
      </c>
      <c r="G15" s="1">
        <v>1</v>
      </c>
      <c r="H15" s="1">
        <v>1</v>
      </c>
      <c r="I15" s="1"/>
      <c r="J15" s="1">
        <v>1</v>
      </c>
      <c r="K15" s="1"/>
      <c r="L15" s="1">
        <v>1</v>
      </c>
      <c r="M15" s="1"/>
      <c r="N15" s="1">
        <v>1</v>
      </c>
      <c r="O15" s="1">
        <v>1</v>
      </c>
      <c r="P15" s="1"/>
      <c r="Q15" s="1"/>
      <c r="R15" s="1">
        <v>1</v>
      </c>
      <c r="S15" s="19">
        <f t="shared" si="0"/>
        <v>0.58333333333333337</v>
      </c>
      <c r="T15" s="20">
        <f t="shared" si="1"/>
        <v>0.66666666666666663</v>
      </c>
      <c r="U15" s="35"/>
      <c r="V15" s="18">
        <f t="shared" si="2"/>
        <v>1</v>
      </c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1">
        <v>13</v>
      </c>
      <c r="B16" s="1">
        <v>21</v>
      </c>
      <c r="C16" s="1">
        <v>500</v>
      </c>
      <c r="D16" s="12" t="s">
        <v>17</v>
      </c>
      <c r="E16" s="12" t="s">
        <v>17</v>
      </c>
      <c r="F16" s="1" t="s">
        <v>16</v>
      </c>
      <c r="G16" s="1">
        <v>1</v>
      </c>
      <c r="H16" s="1">
        <v>1</v>
      </c>
      <c r="I16" s="1"/>
      <c r="J16" s="1">
        <v>1</v>
      </c>
      <c r="K16" s="1"/>
      <c r="L16" s="1">
        <v>1</v>
      </c>
      <c r="M16" s="1"/>
      <c r="N16" s="1">
        <v>1</v>
      </c>
      <c r="O16" s="1"/>
      <c r="P16" s="1">
        <v>1</v>
      </c>
      <c r="Q16" s="1"/>
      <c r="R16" s="1">
        <v>1</v>
      </c>
      <c r="S16" s="19">
        <f t="shared" si="0"/>
        <v>0.58333333333333337</v>
      </c>
      <c r="T16" s="20">
        <f t="shared" si="1"/>
        <v>0.83333333333333337</v>
      </c>
      <c r="U16" s="27" t="s">
        <v>128</v>
      </c>
      <c r="V16" s="18">
        <f t="shared" si="2"/>
        <v>1</v>
      </c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1">
        <v>9999</v>
      </c>
      <c r="B17" s="1"/>
      <c r="C17" s="1"/>
      <c r="D17" s="1"/>
      <c r="E17" s="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27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1"/>
      <c r="B18" s="1"/>
      <c r="C18" s="1"/>
      <c r="D18" s="1"/>
      <c r="E18" s="6"/>
      <c r="F18" s="1" t="s">
        <v>110</v>
      </c>
      <c r="G18" s="1">
        <f>SUM(G4:G16)</f>
        <v>13</v>
      </c>
      <c r="H18" s="1">
        <f t="shared" ref="H18:R18" si="4">SUM(H4:H16)</f>
        <v>11</v>
      </c>
      <c r="I18" s="1">
        <f t="shared" si="4"/>
        <v>2</v>
      </c>
      <c r="J18" s="1">
        <f t="shared" si="4"/>
        <v>9</v>
      </c>
      <c r="K18" s="1">
        <f t="shared" si="4"/>
        <v>2</v>
      </c>
      <c r="L18" s="1">
        <f t="shared" si="4"/>
        <v>7</v>
      </c>
      <c r="M18" s="1">
        <f t="shared" si="4"/>
        <v>3</v>
      </c>
      <c r="N18" s="1">
        <f t="shared" si="4"/>
        <v>4</v>
      </c>
      <c r="O18" s="1">
        <f t="shared" si="4"/>
        <v>2</v>
      </c>
      <c r="P18" s="1">
        <f t="shared" si="4"/>
        <v>2</v>
      </c>
      <c r="Q18" s="1">
        <f t="shared" si="4"/>
        <v>2</v>
      </c>
      <c r="R18" s="1">
        <f t="shared" si="4"/>
        <v>13</v>
      </c>
      <c r="S18" s="20">
        <f>COUNTIF(G18:R18,"&gt;0")/12</f>
        <v>1</v>
      </c>
      <c r="T18" s="20">
        <f>SUM(COUNTIF(J18,"&gt;0"),COUNTIF(L18,"&gt;0"),COUNTIF(N18,"&gt;0"),COUNTIF(P18,"&gt;0"),COUNTIF(Q18,"&gt;0"),COUNTIF(R18,"&gt;0"))/6</f>
        <v>1</v>
      </c>
      <c r="U18" s="27">
        <f>SUM(U4:U15)</f>
        <v>0.7</v>
      </c>
      <c r="V18" s="18">
        <f>COUNTIF(R18,"&gt;0")/1</f>
        <v>1</v>
      </c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33" t="s">
        <v>133</v>
      </c>
      <c r="B19" s="33"/>
      <c r="C19" s="33"/>
      <c r="D19" s="33"/>
      <c r="E19" s="33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1" t="s">
        <v>122</v>
      </c>
      <c r="B20" s="1" t="s">
        <v>123</v>
      </c>
      <c r="C20" s="1" t="s">
        <v>124</v>
      </c>
      <c r="D20" s="1" t="s">
        <v>125</v>
      </c>
      <c r="E20" s="15" t="s">
        <v>126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1" t="s">
        <v>115</v>
      </c>
      <c r="B21" s="1" t="s">
        <v>116</v>
      </c>
      <c r="C21" s="1" t="s">
        <v>117</v>
      </c>
      <c r="D21" s="1" t="s">
        <v>118</v>
      </c>
      <c r="E21" s="15" t="s">
        <v>119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5" t="s">
        <v>120</v>
      </c>
      <c r="B22" s="25" t="s">
        <v>121</v>
      </c>
      <c r="C22" s="25" t="s">
        <v>121</v>
      </c>
      <c r="D22" s="25" t="s">
        <v>121</v>
      </c>
      <c r="E22" s="26" t="s">
        <v>120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25" t="s">
        <v>120</v>
      </c>
      <c r="B23" s="25" t="s">
        <v>121</v>
      </c>
      <c r="C23" s="25" t="s">
        <v>121</v>
      </c>
      <c r="D23" s="25" t="s">
        <v>121</v>
      </c>
      <c r="E23" s="26" t="s">
        <v>121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25" t="s">
        <v>121</v>
      </c>
      <c r="B24" s="25" t="s">
        <v>120</v>
      </c>
      <c r="C24" s="25" t="s">
        <v>121</v>
      </c>
      <c r="D24" s="25" t="s">
        <v>121</v>
      </c>
      <c r="E24" s="26" t="s">
        <v>120</v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21" t="s">
        <v>121</v>
      </c>
      <c r="B25" s="21" t="s">
        <v>120</v>
      </c>
      <c r="C25" s="21" t="s">
        <v>121</v>
      </c>
      <c r="D25" s="21" t="s">
        <v>121</v>
      </c>
      <c r="E25" s="22" t="s">
        <v>121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25" t="s">
        <v>121</v>
      </c>
      <c r="B26" s="25" t="s">
        <v>121</v>
      </c>
      <c r="C26" s="25" t="s">
        <v>120</v>
      </c>
      <c r="D26" s="25" t="s">
        <v>121</v>
      </c>
      <c r="E26" s="26" t="s">
        <v>120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21" t="s">
        <v>121</v>
      </c>
      <c r="B27" s="21" t="s">
        <v>121</v>
      </c>
      <c r="C27" s="21" t="s">
        <v>120</v>
      </c>
      <c r="D27" s="21" t="s">
        <v>121</v>
      </c>
      <c r="E27" s="22" t="s">
        <v>121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25" t="s">
        <v>121</v>
      </c>
      <c r="B28" s="25" t="s">
        <v>121</v>
      </c>
      <c r="C28" s="25" t="s">
        <v>121</v>
      </c>
      <c r="D28" s="25" t="s">
        <v>120</v>
      </c>
      <c r="E28" s="26" t="s">
        <v>120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25" t="s">
        <v>121</v>
      </c>
      <c r="B29" s="25" t="s">
        <v>121</v>
      </c>
      <c r="C29" s="25" t="s">
        <v>121</v>
      </c>
      <c r="D29" s="25" t="s">
        <v>120</v>
      </c>
      <c r="E29" s="26" t="s">
        <v>121</v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25" t="s">
        <v>121</v>
      </c>
      <c r="B30" s="25" t="s">
        <v>121</v>
      </c>
      <c r="C30" s="25" t="s">
        <v>121</v>
      </c>
      <c r="D30" s="25" t="s">
        <v>121</v>
      </c>
      <c r="E30" s="32" t="s">
        <v>120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21" t="s">
        <v>121</v>
      </c>
      <c r="B31" s="21" t="s">
        <v>121</v>
      </c>
      <c r="C31" s="21" t="s">
        <v>121</v>
      </c>
      <c r="D31" s="23" t="s">
        <v>121</v>
      </c>
      <c r="E31" s="24" t="s">
        <v>121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1"/>
      <c r="B35" s="1"/>
      <c r="C35" s="1"/>
      <c r="D35" s="5"/>
      <c r="E35" s="2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1"/>
      <c r="B36" s="1"/>
      <c r="C36" s="1"/>
      <c r="D36" s="2"/>
      <c r="E36" s="2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1"/>
      <c r="B37" s="1"/>
      <c r="C37" s="1"/>
      <c r="D37" s="2"/>
      <c r="E37" s="2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1"/>
      <c r="B40" s="1"/>
      <c r="C40" s="1"/>
      <c r="D40" s="5"/>
      <c r="E40" s="2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1"/>
      <c r="B41" s="1"/>
      <c r="C41" s="1"/>
      <c r="D41" s="2"/>
      <c r="E41" s="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1"/>
      <c r="B42" s="1"/>
      <c r="C42" s="1"/>
      <c r="D42" s="2"/>
      <c r="E42" s="2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1"/>
      <c r="B44" s="1"/>
      <c r="C44" s="1"/>
      <c r="D44" s="2"/>
      <c r="E44" s="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1"/>
      <c r="B45" s="1"/>
      <c r="C45" s="1"/>
      <c r="D45" s="5"/>
      <c r="E45" s="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1"/>
      <c r="B46" s="1"/>
      <c r="C46" s="1"/>
      <c r="D46" s="2"/>
      <c r="E46" s="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1"/>
      <c r="B47" s="1"/>
      <c r="C47" s="1"/>
      <c r="D47" s="2"/>
      <c r="E47" s="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1"/>
      <c r="B50" s="1"/>
      <c r="C50" s="1"/>
      <c r="D50" s="5"/>
      <c r="E50" s="2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</sheetData>
  <mergeCells count="7">
    <mergeCell ref="A1:F1"/>
    <mergeCell ref="A2:F2"/>
    <mergeCell ref="A19:E19"/>
    <mergeCell ref="U5:U6"/>
    <mergeCell ref="U8:U9"/>
    <mergeCell ref="U10:U12"/>
    <mergeCell ref="U14:U15"/>
  </mergeCells>
  <conditionalFormatting sqref="F5:F18 F34:F50">
    <cfRule type="containsText" dxfId="71" priority="5" operator="containsText" text="fail">
      <formula>NOT(ISERROR(SEARCH("fail",F5)))</formula>
    </cfRule>
    <cfRule type="containsText" dxfId="70" priority="6" operator="containsText" text="pass">
      <formula>NOT(ISERROR(SEARCH("pass",F5)))</formula>
    </cfRule>
  </conditionalFormatting>
  <conditionalFormatting sqref="F4">
    <cfRule type="containsText" dxfId="69" priority="1" operator="containsText" text="fail">
      <formula>NOT(ISERROR(SEARCH("fail",F4)))</formula>
    </cfRule>
    <cfRule type="containsText" dxfId="68" priority="2" operator="containsText" text="pass">
      <formula>NOT(ISERROR(SEARCH("pass",F4)))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9D10B-8A4C-4E3E-AAC6-6D299BE3E67E}">
  <sheetPr codeName="Sheet3"/>
  <dimension ref="A1:AF57"/>
  <sheetViews>
    <sheetView topLeftCell="P5" zoomScale="83" workbookViewId="0">
      <selection activeCell="A31" sqref="A31"/>
    </sheetView>
  </sheetViews>
  <sheetFormatPr defaultRowHeight="15" x14ac:dyDescent="0.25"/>
  <cols>
    <col min="5" max="5" width="12.140625" bestFit="1" customWidth="1"/>
    <col min="6" max="6" width="15.425781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2" x14ac:dyDescent="0.25">
      <c r="A1" s="33" t="s">
        <v>18</v>
      </c>
      <c r="B1" s="33"/>
      <c r="C1" s="33"/>
      <c r="D1" s="33"/>
      <c r="E1" s="33"/>
      <c r="F1" s="33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3" t="s">
        <v>97</v>
      </c>
      <c r="B2" s="33"/>
      <c r="C2" s="33"/>
      <c r="D2" s="33"/>
      <c r="E2" s="33"/>
      <c r="F2" s="3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0</v>
      </c>
      <c r="B3" s="1" t="s">
        <v>19</v>
      </c>
      <c r="C3" s="1" t="s">
        <v>20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>
        <v>1</v>
      </c>
      <c r="B4" s="11">
        <v>0</v>
      </c>
      <c r="C4" s="11">
        <v>5</v>
      </c>
      <c r="D4" s="11">
        <f>0.01*C4</f>
        <v>0.05</v>
      </c>
      <c r="E4" s="11">
        <v>0.05</v>
      </c>
      <c r="F4" s="1" t="s">
        <v>16</v>
      </c>
      <c r="G4" s="11">
        <v>1</v>
      </c>
      <c r="H4" s="11">
        <v>1</v>
      </c>
      <c r="I4" s="11">
        <v>1</v>
      </c>
      <c r="J4" s="11"/>
      <c r="K4" s="11"/>
      <c r="L4" s="11"/>
      <c r="M4" s="11"/>
      <c r="N4" s="11"/>
      <c r="O4" s="11"/>
      <c r="P4" s="11"/>
      <c r="Q4" s="11"/>
      <c r="R4" s="11">
        <v>1</v>
      </c>
      <c r="S4" s="19">
        <f>SUM(G4:R4)/12</f>
        <v>0.33333333333333331</v>
      </c>
      <c r="T4" s="20">
        <f>SUM(J4,L4,N4,P4,Q4,R4)/6</f>
        <v>0.16666666666666666</v>
      </c>
      <c r="U4" s="36">
        <v>0.1</v>
      </c>
      <c r="V4" s="18">
        <f>R4/1</f>
        <v>1</v>
      </c>
      <c r="W4" s="1"/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1">
        <v>2</v>
      </c>
      <c r="B5" s="1">
        <v>0</v>
      </c>
      <c r="C5" s="11">
        <v>6</v>
      </c>
      <c r="D5" s="11">
        <f t="shared" ref="D5:D13" si="0">0.01*C5</f>
        <v>0.06</v>
      </c>
      <c r="E5" s="6">
        <v>0.06</v>
      </c>
      <c r="F5" s="1" t="s">
        <v>16</v>
      </c>
      <c r="G5" s="1">
        <v>1</v>
      </c>
      <c r="H5" s="1">
        <v>1</v>
      </c>
      <c r="I5" s="1">
        <v>1</v>
      </c>
      <c r="J5" s="1"/>
      <c r="K5" s="1"/>
      <c r="L5" s="1"/>
      <c r="M5" s="1"/>
      <c r="N5" s="1"/>
      <c r="O5" s="1"/>
      <c r="P5" s="1"/>
      <c r="Q5" s="1"/>
      <c r="R5" s="1">
        <v>1</v>
      </c>
      <c r="S5" s="19">
        <f t="shared" ref="S5:S28" si="1">SUM(G5:R5)/12</f>
        <v>0.33333333333333331</v>
      </c>
      <c r="T5" s="20">
        <f t="shared" ref="T5:T28" si="2">SUM(J5,L5,N5,P5,Q5,R5)/6</f>
        <v>0.16666666666666666</v>
      </c>
      <c r="U5" s="36"/>
      <c r="V5" s="18">
        <f t="shared" ref="V5:V28" si="3">R5/1</f>
        <v>1</v>
      </c>
      <c r="W5" s="1"/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1">
        <v>3</v>
      </c>
      <c r="B6" s="1">
        <v>0</v>
      </c>
      <c r="C6" s="11">
        <v>500</v>
      </c>
      <c r="D6" s="11">
        <f t="shared" si="0"/>
        <v>5</v>
      </c>
      <c r="E6" s="6">
        <v>5</v>
      </c>
      <c r="F6" s="1" t="s">
        <v>16</v>
      </c>
      <c r="G6" s="1">
        <v>1</v>
      </c>
      <c r="H6" s="1">
        <v>1</v>
      </c>
      <c r="I6" s="1">
        <v>1</v>
      </c>
      <c r="J6" s="1"/>
      <c r="K6" s="1"/>
      <c r="L6" s="1"/>
      <c r="M6" s="1"/>
      <c r="N6" s="1"/>
      <c r="O6" s="1"/>
      <c r="P6" s="1"/>
      <c r="Q6" s="1"/>
      <c r="R6" s="1">
        <v>1</v>
      </c>
      <c r="S6" s="19">
        <f t="shared" si="1"/>
        <v>0.33333333333333331</v>
      </c>
      <c r="T6" s="20">
        <f t="shared" si="2"/>
        <v>0.16666666666666666</v>
      </c>
      <c r="U6" s="36"/>
      <c r="V6" s="18">
        <f t="shared" si="3"/>
        <v>1</v>
      </c>
      <c r="W6" s="1"/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1">
        <v>4</v>
      </c>
      <c r="B7" s="1">
        <v>0</v>
      </c>
      <c r="C7" s="11">
        <v>999</v>
      </c>
      <c r="D7" s="11">
        <f t="shared" si="0"/>
        <v>9.99</v>
      </c>
      <c r="E7" s="6">
        <v>9.99</v>
      </c>
      <c r="F7" s="1" t="s">
        <v>16</v>
      </c>
      <c r="G7" s="1">
        <v>1</v>
      </c>
      <c r="H7" s="1">
        <v>1</v>
      </c>
      <c r="I7" s="1">
        <v>1</v>
      </c>
      <c r="J7" s="1"/>
      <c r="K7" s="1"/>
      <c r="L7" s="1"/>
      <c r="M7" s="1"/>
      <c r="N7" s="1"/>
      <c r="O7" s="1"/>
      <c r="P7" s="1"/>
      <c r="Q7" s="1"/>
      <c r="R7" s="1">
        <v>1</v>
      </c>
      <c r="S7" s="19">
        <f t="shared" si="1"/>
        <v>0.33333333333333331</v>
      </c>
      <c r="T7" s="20">
        <f t="shared" si="2"/>
        <v>0.16666666666666666</v>
      </c>
      <c r="U7" s="36"/>
      <c r="V7" s="18">
        <f t="shared" si="3"/>
        <v>1</v>
      </c>
      <c r="W7" s="1"/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1">
        <v>5</v>
      </c>
      <c r="B8" s="1">
        <v>0</v>
      </c>
      <c r="C8" s="1">
        <v>1000</v>
      </c>
      <c r="D8" s="11">
        <f t="shared" si="0"/>
        <v>10</v>
      </c>
      <c r="E8" s="6">
        <v>10</v>
      </c>
      <c r="F8" s="1" t="s">
        <v>16</v>
      </c>
      <c r="G8" s="1">
        <v>1</v>
      </c>
      <c r="H8" s="1">
        <v>1</v>
      </c>
      <c r="I8" s="1">
        <v>1</v>
      </c>
      <c r="J8" s="1"/>
      <c r="K8" s="1"/>
      <c r="L8" s="1"/>
      <c r="M8" s="1"/>
      <c r="N8" s="1"/>
      <c r="O8" s="1"/>
      <c r="P8" s="1"/>
      <c r="Q8" s="1"/>
      <c r="R8" s="1">
        <v>1</v>
      </c>
      <c r="S8" s="19">
        <f t="shared" si="1"/>
        <v>0.33333333333333331</v>
      </c>
      <c r="T8" s="20">
        <f t="shared" si="2"/>
        <v>0.16666666666666666</v>
      </c>
      <c r="U8" s="36"/>
      <c r="V8" s="18">
        <f t="shared" si="3"/>
        <v>1</v>
      </c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1">
        <v>6</v>
      </c>
      <c r="B9" s="1">
        <v>1</v>
      </c>
      <c r="C9" s="1">
        <v>5</v>
      </c>
      <c r="D9" s="11">
        <f t="shared" si="0"/>
        <v>0.05</v>
      </c>
      <c r="E9" s="6">
        <v>0.05</v>
      </c>
      <c r="F9" s="1" t="s">
        <v>16</v>
      </c>
      <c r="G9" s="1">
        <v>1</v>
      </c>
      <c r="H9" s="1">
        <v>1</v>
      </c>
      <c r="I9" s="1">
        <v>1</v>
      </c>
      <c r="J9" s="1"/>
      <c r="K9" s="1"/>
      <c r="L9" s="1"/>
      <c r="M9" s="1"/>
      <c r="N9" s="1"/>
      <c r="O9" s="1"/>
      <c r="P9" s="1"/>
      <c r="Q9" s="1"/>
      <c r="R9" s="1">
        <v>1</v>
      </c>
      <c r="S9" s="19">
        <f t="shared" si="1"/>
        <v>0.33333333333333331</v>
      </c>
      <c r="T9" s="20">
        <f t="shared" si="2"/>
        <v>0.16666666666666666</v>
      </c>
      <c r="U9" s="36"/>
      <c r="V9" s="18">
        <f t="shared" si="3"/>
        <v>1</v>
      </c>
      <c r="W9" s="1"/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1">
        <v>7</v>
      </c>
      <c r="B10" s="1">
        <v>1</v>
      </c>
      <c r="C10" s="1">
        <v>6</v>
      </c>
      <c r="D10" s="11">
        <f t="shared" si="0"/>
        <v>0.06</v>
      </c>
      <c r="E10" s="6">
        <v>0.06</v>
      </c>
      <c r="F10" s="1" t="s">
        <v>16</v>
      </c>
      <c r="G10" s="1">
        <v>1</v>
      </c>
      <c r="H10" s="1">
        <v>1</v>
      </c>
      <c r="I10" s="1">
        <v>1</v>
      </c>
      <c r="J10" s="1"/>
      <c r="K10" s="1"/>
      <c r="L10" s="1"/>
      <c r="M10" s="1"/>
      <c r="N10" s="1"/>
      <c r="O10" s="1"/>
      <c r="P10" s="1"/>
      <c r="Q10" s="1"/>
      <c r="R10" s="1">
        <v>1</v>
      </c>
      <c r="S10" s="19">
        <f t="shared" si="1"/>
        <v>0.33333333333333331</v>
      </c>
      <c r="T10" s="20">
        <f t="shared" si="2"/>
        <v>0.16666666666666666</v>
      </c>
      <c r="U10" s="36"/>
      <c r="V10" s="18">
        <f t="shared" si="3"/>
        <v>1</v>
      </c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>
        <v>8</v>
      </c>
      <c r="B11" s="1">
        <v>1</v>
      </c>
      <c r="C11" s="1">
        <v>500</v>
      </c>
      <c r="D11" s="11">
        <f t="shared" si="0"/>
        <v>5</v>
      </c>
      <c r="E11" s="6">
        <v>5</v>
      </c>
      <c r="F11" s="1" t="s">
        <v>16</v>
      </c>
      <c r="G11" s="1">
        <v>1</v>
      </c>
      <c r="H11" s="1">
        <v>1</v>
      </c>
      <c r="I11" s="1">
        <v>1</v>
      </c>
      <c r="J11" s="1"/>
      <c r="K11" s="1"/>
      <c r="L11" s="1"/>
      <c r="M11" s="1"/>
      <c r="N11" s="1"/>
      <c r="O11" s="1"/>
      <c r="P11" s="1"/>
      <c r="Q11" s="1"/>
      <c r="R11" s="1">
        <v>1</v>
      </c>
      <c r="S11" s="19">
        <f t="shared" si="1"/>
        <v>0.33333333333333331</v>
      </c>
      <c r="T11" s="20">
        <f t="shared" si="2"/>
        <v>0.16666666666666666</v>
      </c>
      <c r="U11" s="36"/>
      <c r="V11" s="18">
        <f t="shared" si="3"/>
        <v>1</v>
      </c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>
        <v>9</v>
      </c>
      <c r="B12" s="1">
        <v>1</v>
      </c>
      <c r="C12" s="1">
        <v>999</v>
      </c>
      <c r="D12" s="11">
        <f t="shared" si="0"/>
        <v>9.99</v>
      </c>
      <c r="E12" s="6">
        <v>9.99</v>
      </c>
      <c r="F12" s="1" t="s">
        <v>16</v>
      </c>
      <c r="G12" s="1">
        <v>1</v>
      </c>
      <c r="H12" s="1">
        <v>1</v>
      </c>
      <c r="I12" s="1">
        <v>1</v>
      </c>
      <c r="J12" s="1"/>
      <c r="K12" s="1"/>
      <c r="L12" s="1"/>
      <c r="M12" s="1"/>
      <c r="N12" s="1"/>
      <c r="O12" s="1"/>
      <c r="P12" s="1"/>
      <c r="Q12" s="1"/>
      <c r="R12" s="1">
        <v>1</v>
      </c>
      <c r="S12" s="19">
        <f t="shared" si="1"/>
        <v>0.33333333333333331</v>
      </c>
      <c r="T12" s="20">
        <f t="shared" si="2"/>
        <v>0.16666666666666666</v>
      </c>
      <c r="U12" s="36"/>
      <c r="V12" s="18">
        <f t="shared" si="3"/>
        <v>1</v>
      </c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1">
        <v>10</v>
      </c>
      <c r="B13" s="1">
        <v>1</v>
      </c>
      <c r="C13" s="1">
        <v>1000</v>
      </c>
      <c r="D13" s="11">
        <f t="shared" si="0"/>
        <v>10</v>
      </c>
      <c r="E13" s="6">
        <v>10</v>
      </c>
      <c r="F13" s="1" t="s">
        <v>16</v>
      </c>
      <c r="G13" s="1">
        <v>1</v>
      </c>
      <c r="H13" s="1">
        <v>1</v>
      </c>
      <c r="I13" s="1">
        <v>1</v>
      </c>
      <c r="J13" s="1"/>
      <c r="K13" s="1"/>
      <c r="L13" s="1"/>
      <c r="M13" s="1"/>
      <c r="N13" s="1"/>
      <c r="O13" s="1"/>
      <c r="P13" s="1"/>
      <c r="Q13" s="1"/>
      <c r="R13" s="1">
        <v>1</v>
      </c>
      <c r="S13" s="19">
        <f t="shared" si="1"/>
        <v>0.33333333333333331</v>
      </c>
      <c r="T13" s="20">
        <f t="shared" si="2"/>
        <v>0.16666666666666666</v>
      </c>
      <c r="U13" s="36"/>
      <c r="V13" s="18">
        <f t="shared" si="3"/>
        <v>1</v>
      </c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1">
        <v>11</v>
      </c>
      <c r="B14" s="1">
        <v>2</v>
      </c>
      <c r="C14" s="1">
        <v>5</v>
      </c>
      <c r="D14" s="1">
        <f>0.01*C14</f>
        <v>0.05</v>
      </c>
      <c r="E14" s="6">
        <v>0.05</v>
      </c>
      <c r="F14" s="1" t="s">
        <v>16</v>
      </c>
      <c r="G14" s="1">
        <v>1</v>
      </c>
      <c r="H14" s="1">
        <v>1</v>
      </c>
      <c r="I14" s="1">
        <v>1</v>
      </c>
      <c r="J14" s="1"/>
      <c r="K14" s="1"/>
      <c r="L14" s="1"/>
      <c r="M14" s="1"/>
      <c r="N14" s="1"/>
      <c r="O14" s="1"/>
      <c r="P14" s="1"/>
      <c r="Q14" s="1"/>
      <c r="R14" s="1">
        <v>1</v>
      </c>
      <c r="S14" s="19">
        <f t="shared" si="1"/>
        <v>0.33333333333333331</v>
      </c>
      <c r="T14" s="20">
        <f t="shared" si="2"/>
        <v>0.16666666666666666</v>
      </c>
      <c r="U14" s="36"/>
      <c r="V14" s="18">
        <f t="shared" si="3"/>
        <v>1</v>
      </c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1">
        <v>12</v>
      </c>
      <c r="B15" s="1">
        <v>4</v>
      </c>
      <c r="C15" s="1">
        <v>6</v>
      </c>
      <c r="D15" s="1">
        <f>0.015*C15</f>
        <v>0.09</v>
      </c>
      <c r="E15" s="6">
        <v>0.09</v>
      </c>
      <c r="F15" s="1" t="s">
        <v>16</v>
      </c>
      <c r="G15" s="1">
        <v>1</v>
      </c>
      <c r="H15" s="1">
        <v>1</v>
      </c>
      <c r="I15" s="1"/>
      <c r="J15" s="1">
        <v>1</v>
      </c>
      <c r="K15" s="1">
        <v>1</v>
      </c>
      <c r="L15" s="1"/>
      <c r="M15" s="1"/>
      <c r="N15" s="1"/>
      <c r="O15" s="1"/>
      <c r="P15" s="1"/>
      <c r="Q15" s="1"/>
      <c r="R15" s="1">
        <v>1</v>
      </c>
      <c r="S15" s="19">
        <f t="shared" si="1"/>
        <v>0.41666666666666669</v>
      </c>
      <c r="T15" s="20">
        <f t="shared" si="2"/>
        <v>0.33333333333333331</v>
      </c>
      <c r="U15" s="36">
        <v>0.1</v>
      </c>
      <c r="V15" s="18">
        <f t="shared" si="3"/>
        <v>1</v>
      </c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1">
        <v>13</v>
      </c>
      <c r="B16" s="1">
        <v>6</v>
      </c>
      <c r="C16" s="1">
        <v>500</v>
      </c>
      <c r="D16" s="1">
        <f>0.015*C16</f>
        <v>7.5</v>
      </c>
      <c r="E16" s="6">
        <v>7.5</v>
      </c>
      <c r="F16" s="1" t="s">
        <v>16</v>
      </c>
      <c r="G16" s="1">
        <v>1</v>
      </c>
      <c r="H16" s="1">
        <v>1</v>
      </c>
      <c r="I16" s="1"/>
      <c r="J16" s="1">
        <v>1</v>
      </c>
      <c r="K16" s="1">
        <v>1</v>
      </c>
      <c r="L16" s="1"/>
      <c r="M16" s="1"/>
      <c r="N16" s="1"/>
      <c r="O16" s="1"/>
      <c r="P16" s="1"/>
      <c r="Q16" s="1"/>
      <c r="R16" s="1">
        <v>1</v>
      </c>
      <c r="S16" s="19">
        <f t="shared" si="1"/>
        <v>0.41666666666666669</v>
      </c>
      <c r="T16" s="20">
        <f t="shared" si="2"/>
        <v>0.33333333333333331</v>
      </c>
      <c r="U16" s="36"/>
      <c r="V16" s="18">
        <f t="shared" si="3"/>
        <v>1</v>
      </c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1">
        <v>14</v>
      </c>
      <c r="B17" s="1">
        <v>8</v>
      </c>
      <c r="C17" s="1">
        <v>999</v>
      </c>
      <c r="D17" s="1">
        <f t="shared" ref="D17:D18" si="4">0.02*C17</f>
        <v>19.98</v>
      </c>
      <c r="E17" s="6">
        <v>19.98</v>
      </c>
      <c r="F17" s="1" t="s">
        <v>16</v>
      </c>
      <c r="G17" s="1">
        <v>1</v>
      </c>
      <c r="H17" s="1">
        <v>1</v>
      </c>
      <c r="I17" s="1"/>
      <c r="J17" s="1">
        <v>1</v>
      </c>
      <c r="K17" s="1"/>
      <c r="L17" s="1">
        <v>1</v>
      </c>
      <c r="M17" s="1">
        <v>1</v>
      </c>
      <c r="N17" s="1"/>
      <c r="O17" s="1"/>
      <c r="P17" s="1"/>
      <c r="Q17" s="1"/>
      <c r="R17" s="1">
        <v>1</v>
      </c>
      <c r="S17" s="19">
        <f t="shared" si="1"/>
        <v>0.5</v>
      </c>
      <c r="T17" s="20">
        <f t="shared" si="2"/>
        <v>0.5</v>
      </c>
      <c r="U17" s="36">
        <v>0.1</v>
      </c>
      <c r="V17" s="18">
        <f t="shared" si="3"/>
        <v>1</v>
      </c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1">
        <v>15</v>
      </c>
      <c r="B18" s="1">
        <v>10</v>
      </c>
      <c r="C18" s="1">
        <v>1000</v>
      </c>
      <c r="D18" s="1">
        <f t="shared" si="4"/>
        <v>20</v>
      </c>
      <c r="E18" s="6">
        <v>20</v>
      </c>
      <c r="F18" s="1" t="s">
        <v>16</v>
      </c>
      <c r="G18" s="1">
        <v>1</v>
      </c>
      <c r="H18" s="1">
        <v>1</v>
      </c>
      <c r="I18" s="1"/>
      <c r="J18" s="1">
        <v>1</v>
      </c>
      <c r="K18" s="1"/>
      <c r="L18" s="1">
        <v>1</v>
      </c>
      <c r="M18" s="1">
        <v>1</v>
      </c>
      <c r="N18" s="1"/>
      <c r="O18" s="1"/>
      <c r="P18" s="1"/>
      <c r="Q18" s="1"/>
      <c r="R18" s="1">
        <v>1</v>
      </c>
      <c r="S18" s="19">
        <f t="shared" si="1"/>
        <v>0.5</v>
      </c>
      <c r="T18" s="20">
        <f t="shared" si="2"/>
        <v>0.5</v>
      </c>
      <c r="U18" s="36"/>
      <c r="V18" s="18">
        <f t="shared" si="3"/>
        <v>1</v>
      </c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1">
        <v>16</v>
      </c>
      <c r="B19" s="1">
        <v>19</v>
      </c>
      <c r="C19" s="1">
        <v>5</v>
      </c>
      <c r="D19" s="1">
        <f>0.025*C19</f>
        <v>0.125</v>
      </c>
      <c r="E19" s="6">
        <v>0.125</v>
      </c>
      <c r="F19" s="1" t="s">
        <v>16</v>
      </c>
      <c r="G19" s="1">
        <v>1</v>
      </c>
      <c r="H19" s="1">
        <v>1</v>
      </c>
      <c r="I19" s="1"/>
      <c r="J19" s="1">
        <v>1</v>
      </c>
      <c r="K19" s="1"/>
      <c r="L19" s="1">
        <v>1</v>
      </c>
      <c r="M19" s="1"/>
      <c r="N19" s="1">
        <v>1</v>
      </c>
      <c r="O19" s="1">
        <v>1</v>
      </c>
      <c r="P19" s="1"/>
      <c r="Q19" s="1"/>
      <c r="R19" s="1">
        <v>1</v>
      </c>
      <c r="S19" s="19">
        <f t="shared" si="1"/>
        <v>0.58333333333333337</v>
      </c>
      <c r="T19" s="20">
        <f t="shared" si="2"/>
        <v>0.66666666666666663</v>
      </c>
      <c r="U19" s="36">
        <v>0.1</v>
      </c>
      <c r="V19" s="18">
        <f t="shared" si="3"/>
        <v>1</v>
      </c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1">
        <v>17</v>
      </c>
      <c r="B20" s="1">
        <v>19</v>
      </c>
      <c r="C20" s="1">
        <v>6</v>
      </c>
      <c r="D20" s="1">
        <f>0.025*C20</f>
        <v>0.15000000000000002</v>
      </c>
      <c r="E20" s="6">
        <v>0.15000000000000002</v>
      </c>
      <c r="F20" s="1" t="s">
        <v>16</v>
      </c>
      <c r="G20" s="1">
        <v>1</v>
      </c>
      <c r="H20" s="1">
        <v>1</v>
      </c>
      <c r="I20" s="1"/>
      <c r="J20" s="1">
        <v>1</v>
      </c>
      <c r="K20" s="1"/>
      <c r="L20" s="1">
        <v>1</v>
      </c>
      <c r="M20" s="1"/>
      <c r="N20" s="1">
        <v>1</v>
      </c>
      <c r="O20" s="1">
        <v>1</v>
      </c>
      <c r="P20" s="1"/>
      <c r="Q20" s="1"/>
      <c r="R20" s="1">
        <v>1</v>
      </c>
      <c r="S20" s="19">
        <f t="shared" si="1"/>
        <v>0.58333333333333337</v>
      </c>
      <c r="T20" s="20">
        <f t="shared" si="2"/>
        <v>0.66666666666666663</v>
      </c>
      <c r="U20" s="36"/>
      <c r="V20" s="18">
        <f t="shared" si="3"/>
        <v>1</v>
      </c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1">
        <v>18</v>
      </c>
      <c r="B21" s="1">
        <v>19</v>
      </c>
      <c r="C21" s="1">
        <v>500</v>
      </c>
      <c r="D21" s="1">
        <f t="shared" ref="D21:D28" si="5">0.025*C21</f>
        <v>12.5</v>
      </c>
      <c r="E21" s="6">
        <v>12.5</v>
      </c>
      <c r="F21" s="1" t="s">
        <v>16</v>
      </c>
      <c r="G21" s="1">
        <v>1</v>
      </c>
      <c r="H21" s="1">
        <v>1</v>
      </c>
      <c r="I21" s="1"/>
      <c r="J21" s="1">
        <v>1</v>
      </c>
      <c r="K21" s="1"/>
      <c r="L21" s="1">
        <v>1</v>
      </c>
      <c r="M21" s="1"/>
      <c r="N21" s="1">
        <v>1</v>
      </c>
      <c r="O21" s="1">
        <v>1</v>
      </c>
      <c r="P21" s="1"/>
      <c r="Q21" s="1"/>
      <c r="R21" s="1">
        <v>1</v>
      </c>
      <c r="S21" s="19">
        <f t="shared" si="1"/>
        <v>0.58333333333333337</v>
      </c>
      <c r="T21" s="20">
        <f t="shared" si="2"/>
        <v>0.66666666666666663</v>
      </c>
      <c r="U21" s="36"/>
      <c r="V21" s="18">
        <f t="shared" si="3"/>
        <v>1</v>
      </c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1">
        <v>19</v>
      </c>
      <c r="B22" s="1">
        <v>19</v>
      </c>
      <c r="C22" s="1">
        <v>999</v>
      </c>
      <c r="D22" s="1">
        <f t="shared" si="5"/>
        <v>24.975000000000001</v>
      </c>
      <c r="E22" s="6">
        <v>24.975000000000001</v>
      </c>
      <c r="F22" s="1" t="s">
        <v>16</v>
      </c>
      <c r="G22" s="1">
        <v>1</v>
      </c>
      <c r="H22" s="1">
        <v>1</v>
      </c>
      <c r="I22" s="1"/>
      <c r="J22" s="1">
        <v>1</v>
      </c>
      <c r="K22" s="1"/>
      <c r="L22" s="1">
        <v>1</v>
      </c>
      <c r="M22" s="1"/>
      <c r="N22" s="1">
        <v>1</v>
      </c>
      <c r="O22" s="1">
        <v>1</v>
      </c>
      <c r="P22" s="1"/>
      <c r="Q22" s="1"/>
      <c r="R22" s="1">
        <v>1</v>
      </c>
      <c r="S22" s="19">
        <f t="shared" si="1"/>
        <v>0.58333333333333337</v>
      </c>
      <c r="T22" s="20">
        <f t="shared" si="2"/>
        <v>0.66666666666666663</v>
      </c>
      <c r="U22" s="36"/>
      <c r="V22" s="18">
        <f t="shared" si="3"/>
        <v>1</v>
      </c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1">
        <v>20</v>
      </c>
      <c r="B23" s="1">
        <v>19</v>
      </c>
      <c r="C23" s="1">
        <v>1000</v>
      </c>
      <c r="D23" s="1">
        <f t="shared" si="5"/>
        <v>25</v>
      </c>
      <c r="E23" s="6">
        <v>25</v>
      </c>
      <c r="F23" s="1" t="s">
        <v>16</v>
      </c>
      <c r="G23" s="1">
        <v>1</v>
      </c>
      <c r="H23" s="1">
        <v>1</v>
      </c>
      <c r="I23" s="1"/>
      <c r="J23" s="1">
        <v>1</v>
      </c>
      <c r="K23" s="1"/>
      <c r="L23" s="1">
        <v>1</v>
      </c>
      <c r="M23" s="1"/>
      <c r="N23" s="1">
        <v>1</v>
      </c>
      <c r="O23" s="1">
        <v>1</v>
      </c>
      <c r="P23" s="1"/>
      <c r="Q23" s="1"/>
      <c r="R23" s="1">
        <v>1</v>
      </c>
      <c r="S23" s="19">
        <f t="shared" si="1"/>
        <v>0.58333333333333337</v>
      </c>
      <c r="T23" s="20">
        <f t="shared" si="2"/>
        <v>0.66666666666666663</v>
      </c>
      <c r="U23" s="36"/>
      <c r="V23" s="18">
        <f t="shared" si="3"/>
        <v>1</v>
      </c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1">
        <v>21</v>
      </c>
      <c r="B24" s="1">
        <v>20</v>
      </c>
      <c r="C24" s="1">
        <v>5</v>
      </c>
      <c r="D24" s="1">
        <f t="shared" si="5"/>
        <v>0.125</v>
      </c>
      <c r="E24" s="6">
        <v>0.125</v>
      </c>
      <c r="F24" s="1" t="s">
        <v>16</v>
      </c>
      <c r="G24" s="1">
        <v>1</v>
      </c>
      <c r="H24" s="1">
        <v>1</v>
      </c>
      <c r="I24" s="1"/>
      <c r="J24" s="1">
        <v>1</v>
      </c>
      <c r="K24" s="1"/>
      <c r="L24" s="1">
        <v>1</v>
      </c>
      <c r="M24" s="1"/>
      <c r="N24" s="1">
        <v>1</v>
      </c>
      <c r="O24" s="1">
        <v>1</v>
      </c>
      <c r="P24" s="1"/>
      <c r="Q24" s="1"/>
      <c r="R24" s="1">
        <v>1</v>
      </c>
      <c r="S24" s="19">
        <f t="shared" si="1"/>
        <v>0.58333333333333337</v>
      </c>
      <c r="T24" s="20">
        <f t="shared" si="2"/>
        <v>0.66666666666666663</v>
      </c>
      <c r="U24" s="36"/>
      <c r="V24" s="18">
        <f t="shared" si="3"/>
        <v>1</v>
      </c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1">
        <v>22</v>
      </c>
      <c r="B25" s="1">
        <v>20</v>
      </c>
      <c r="C25" s="1">
        <v>6</v>
      </c>
      <c r="D25" s="1">
        <f t="shared" si="5"/>
        <v>0.15000000000000002</v>
      </c>
      <c r="E25" s="6">
        <v>0.15000000000000002</v>
      </c>
      <c r="F25" s="1" t="s">
        <v>16</v>
      </c>
      <c r="G25" s="1">
        <v>1</v>
      </c>
      <c r="H25" s="1">
        <v>1</v>
      </c>
      <c r="I25" s="1"/>
      <c r="J25" s="1">
        <v>1</v>
      </c>
      <c r="K25" s="1"/>
      <c r="L25" s="1">
        <v>1</v>
      </c>
      <c r="M25" s="1"/>
      <c r="N25" s="1">
        <v>1</v>
      </c>
      <c r="O25" s="1">
        <v>1</v>
      </c>
      <c r="P25" s="1"/>
      <c r="Q25" s="1"/>
      <c r="R25" s="1">
        <v>1</v>
      </c>
      <c r="S25" s="19">
        <f t="shared" si="1"/>
        <v>0.58333333333333337</v>
      </c>
      <c r="T25" s="20">
        <f t="shared" si="2"/>
        <v>0.66666666666666663</v>
      </c>
      <c r="U25" s="36"/>
      <c r="V25" s="18">
        <f t="shared" si="3"/>
        <v>1</v>
      </c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1">
        <v>23</v>
      </c>
      <c r="B26" s="1">
        <v>20</v>
      </c>
      <c r="C26" s="1">
        <v>500</v>
      </c>
      <c r="D26" s="1">
        <f t="shared" si="5"/>
        <v>12.5</v>
      </c>
      <c r="E26" s="6">
        <v>12.5</v>
      </c>
      <c r="F26" s="1" t="s">
        <v>16</v>
      </c>
      <c r="G26" s="1">
        <v>1</v>
      </c>
      <c r="H26" s="1">
        <v>1</v>
      </c>
      <c r="I26" s="1"/>
      <c r="J26" s="1">
        <v>1</v>
      </c>
      <c r="K26" s="1"/>
      <c r="L26" s="1">
        <v>1</v>
      </c>
      <c r="M26" s="1"/>
      <c r="N26" s="1">
        <v>1</v>
      </c>
      <c r="O26" s="1">
        <v>1</v>
      </c>
      <c r="P26" s="1"/>
      <c r="Q26" s="1"/>
      <c r="R26" s="1">
        <v>1</v>
      </c>
      <c r="S26" s="19">
        <f t="shared" si="1"/>
        <v>0.58333333333333337</v>
      </c>
      <c r="T26" s="20">
        <f t="shared" si="2"/>
        <v>0.66666666666666663</v>
      </c>
      <c r="U26" s="36"/>
      <c r="V26" s="18">
        <f t="shared" si="3"/>
        <v>1</v>
      </c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1">
        <v>24</v>
      </c>
      <c r="B27" s="1">
        <v>20</v>
      </c>
      <c r="C27" s="1">
        <v>999</v>
      </c>
      <c r="D27" s="1">
        <f t="shared" si="5"/>
        <v>24.975000000000001</v>
      </c>
      <c r="E27" s="6">
        <v>24.975000000000001</v>
      </c>
      <c r="F27" s="1" t="s">
        <v>16</v>
      </c>
      <c r="G27" s="1">
        <v>1</v>
      </c>
      <c r="H27" s="1">
        <v>1</v>
      </c>
      <c r="I27" s="1"/>
      <c r="J27" s="1">
        <v>1</v>
      </c>
      <c r="K27" s="1"/>
      <c r="L27" s="1">
        <v>1</v>
      </c>
      <c r="M27" s="1"/>
      <c r="N27" s="1">
        <v>1</v>
      </c>
      <c r="O27" s="1">
        <v>1</v>
      </c>
      <c r="P27" s="1"/>
      <c r="Q27" s="1"/>
      <c r="R27" s="1">
        <v>1</v>
      </c>
      <c r="S27" s="19">
        <f t="shared" si="1"/>
        <v>0.58333333333333337</v>
      </c>
      <c r="T27" s="20">
        <f t="shared" si="2"/>
        <v>0.66666666666666663</v>
      </c>
      <c r="U27" s="36"/>
      <c r="V27" s="18">
        <f t="shared" si="3"/>
        <v>1</v>
      </c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1">
        <v>25</v>
      </c>
      <c r="B28" s="1">
        <v>20</v>
      </c>
      <c r="C28" s="1">
        <v>1000</v>
      </c>
      <c r="D28" s="1">
        <f t="shared" si="5"/>
        <v>25</v>
      </c>
      <c r="E28" s="6">
        <v>25</v>
      </c>
      <c r="F28" s="1" t="s">
        <v>16</v>
      </c>
      <c r="G28" s="1">
        <v>1</v>
      </c>
      <c r="H28" s="1">
        <v>1</v>
      </c>
      <c r="I28" s="1"/>
      <c r="J28" s="1">
        <v>1</v>
      </c>
      <c r="K28" s="1"/>
      <c r="L28" s="1">
        <v>1</v>
      </c>
      <c r="M28" s="1"/>
      <c r="N28" s="1">
        <v>1</v>
      </c>
      <c r="O28" s="1">
        <v>1</v>
      </c>
      <c r="P28" s="1"/>
      <c r="Q28" s="1"/>
      <c r="R28" s="1">
        <v>1</v>
      </c>
      <c r="S28" s="19">
        <f t="shared" si="1"/>
        <v>0.58333333333333337</v>
      </c>
      <c r="T28" s="20">
        <f t="shared" si="2"/>
        <v>0.66666666666666663</v>
      </c>
      <c r="U28" s="36"/>
      <c r="V28" s="18">
        <f t="shared" si="3"/>
        <v>1</v>
      </c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1">
        <v>9999</v>
      </c>
      <c r="B29" s="1"/>
      <c r="C29" s="1"/>
      <c r="D29" s="1"/>
      <c r="E29" s="6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33" t="s">
        <v>133</v>
      </c>
      <c r="B30" s="33"/>
      <c r="C30" s="33"/>
      <c r="D30" s="33"/>
      <c r="E30" s="33"/>
      <c r="F30" s="1" t="s">
        <v>110</v>
      </c>
      <c r="G30" s="1">
        <f>SUM(G4:G28)</f>
        <v>25</v>
      </c>
      <c r="H30" s="1">
        <f t="shared" ref="H30:R30" si="6">SUM(H4:H28)</f>
        <v>25</v>
      </c>
      <c r="I30" s="1">
        <f t="shared" si="6"/>
        <v>11</v>
      </c>
      <c r="J30" s="1">
        <f t="shared" si="6"/>
        <v>14</v>
      </c>
      <c r="K30" s="1">
        <f t="shared" si="6"/>
        <v>2</v>
      </c>
      <c r="L30" s="1">
        <f t="shared" si="6"/>
        <v>12</v>
      </c>
      <c r="M30" s="1">
        <f t="shared" si="6"/>
        <v>2</v>
      </c>
      <c r="N30" s="1">
        <f t="shared" si="6"/>
        <v>10</v>
      </c>
      <c r="O30" s="1">
        <f t="shared" si="6"/>
        <v>10</v>
      </c>
      <c r="P30" s="1">
        <f t="shared" si="6"/>
        <v>0</v>
      </c>
      <c r="Q30" s="1">
        <f t="shared" si="6"/>
        <v>0</v>
      </c>
      <c r="R30" s="1">
        <f t="shared" si="6"/>
        <v>25</v>
      </c>
      <c r="S30" s="18">
        <f>COUNTIF(G30:R30,"&gt;0")/12</f>
        <v>0.83333333333333337</v>
      </c>
      <c r="T30" s="20">
        <f>SUM(COUNTIF(J30,"&gt;0"),COUNTIF(L30,"&gt;0"),COUNTIF(N30,"&gt;0"),COUNTIF(P30,"&gt;0"),COUNTIF(Q30,"&gt;0"),COUNTIF(R30,"&gt;0"))/6</f>
        <v>0.66666666666666663</v>
      </c>
      <c r="U30" s="28">
        <f>SUM(U4:U28)</f>
        <v>0.4</v>
      </c>
      <c r="V30" s="18">
        <f>COUNTIF(R30,"&gt;0")/1</f>
        <v>1</v>
      </c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1" t="s">
        <v>122</v>
      </c>
      <c r="B31" s="1" t="s">
        <v>123</v>
      </c>
      <c r="C31" s="1" t="s">
        <v>124</v>
      </c>
      <c r="D31" s="1" t="s">
        <v>125</v>
      </c>
      <c r="E31" s="15" t="s">
        <v>126</v>
      </c>
      <c r="F31" s="1"/>
      <c r="G31" s="1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1" t="s">
        <v>115</v>
      </c>
      <c r="B32" s="1" t="s">
        <v>116</v>
      </c>
      <c r="C32" s="1" t="s">
        <v>117</v>
      </c>
      <c r="D32" s="1" t="s">
        <v>118</v>
      </c>
      <c r="E32" s="15" t="s">
        <v>119</v>
      </c>
      <c r="F32" s="1"/>
      <c r="G32" s="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25" t="s">
        <v>120</v>
      </c>
      <c r="B33" s="25" t="s">
        <v>121</v>
      </c>
      <c r="C33" s="25" t="s">
        <v>121</v>
      </c>
      <c r="D33" s="25" t="s">
        <v>121</v>
      </c>
      <c r="E33" s="25" t="s">
        <v>120</v>
      </c>
      <c r="F33" s="1"/>
      <c r="G33" s="1"/>
      <c r="H33" s="11"/>
      <c r="I33" s="11"/>
      <c r="J33" s="1"/>
      <c r="K33" s="11"/>
      <c r="L33" s="1"/>
      <c r="M33" s="11"/>
      <c r="N33" s="1"/>
      <c r="O33" s="1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21" t="s">
        <v>120</v>
      </c>
      <c r="B34" s="21" t="s">
        <v>121</v>
      </c>
      <c r="C34" s="21" t="s">
        <v>121</v>
      </c>
      <c r="D34" s="21" t="s">
        <v>121</v>
      </c>
      <c r="E34" s="21" t="s">
        <v>121</v>
      </c>
      <c r="F34" s="1"/>
      <c r="G34" s="1"/>
      <c r="H34" s="11"/>
      <c r="I34" s="11"/>
      <c r="J34" s="1"/>
      <c r="K34" s="11"/>
      <c r="L34" s="1"/>
      <c r="M34" s="11"/>
      <c r="N34" s="1"/>
      <c r="O34" s="1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25" t="s">
        <v>121</v>
      </c>
      <c r="B35" s="25" t="s">
        <v>120</v>
      </c>
      <c r="C35" s="25" t="s">
        <v>121</v>
      </c>
      <c r="D35" s="25" t="s">
        <v>121</v>
      </c>
      <c r="E35" s="25" t="s">
        <v>120</v>
      </c>
      <c r="F35" s="1"/>
      <c r="G35" s="1"/>
      <c r="H35" s="11"/>
      <c r="I35" s="11"/>
      <c r="J35" s="1"/>
      <c r="K35" s="11"/>
      <c r="L35" s="1"/>
      <c r="M35" s="11"/>
      <c r="N35" s="1"/>
      <c r="O35" s="1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21" t="s">
        <v>121</v>
      </c>
      <c r="B36" s="21" t="s">
        <v>120</v>
      </c>
      <c r="C36" s="21" t="s">
        <v>121</v>
      </c>
      <c r="D36" s="21" t="s">
        <v>121</v>
      </c>
      <c r="E36" s="21" t="s">
        <v>121</v>
      </c>
      <c r="F36" s="1"/>
      <c r="G36" s="1"/>
      <c r="H36" s="11"/>
      <c r="I36" s="11"/>
      <c r="J36" s="1"/>
      <c r="K36" s="11"/>
      <c r="L36" s="1"/>
      <c r="M36" s="11"/>
      <c r="N36" s="1"/>
      <c r="O36" s="1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25" t="s">
        <v>121</v>
      </c>
      <c r="B37" s="25" t="s">
        <v>121</v>
      </c>
      <c r="C37" s="25" t="s">
        <v>120</v>
      </c>
      <c r="D37" s="25" t="s">
        <v>121</v>
      </c>
      <c r="E37" s="25" t="s">
        <v>120</v>
      </c>
      <c r="F37" s="1"/>
      <c r="G37" s="1"/>
      <c r="H37" s="11"/>
      <c r="I37" s="11"/>
      <c r="J37" s="1"/>
      <c r="K37" s="11"/>
      <c r="L37" s="1"/>
      <c r="M37" s="11"/>
      <c r="N37" s="1"/>
      <c r="O37" s="1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21" t="s">
        <v>121</v>
      </c>
      <c r="B38" s="21" t="s">
        <v>121</v>
      </c>
      <c r="C38" s="21" t="s">
        <v>120</v>
      </c>
      <c r="D38" s="21" t="s">
        <v>121</v>
      </c>
      <c r="E38" s="21" t="s">
        <v>121</v>
      </c>
      <c r="F38" s="1"/>
      <c r="G38" s="1"/>
      <c r="H38" s="11"/>
      <c r="I38" s="11"/>
      <c r="J38" s="1"/>
      <c r="K38" s="11"/>
      <c r="L38" s="1"/>
      <c r="M38" s="11"/>
      <c r="N38" s="1"/>
      <c r="O38" s="1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25" t="s">
        <v>121</v>
      </c>
      <c r="B39" s="25" t="s">
        <v>121</v>
      </c>
      <c r="C39" s="25" t="s">
        <v>121</v>
      </c>
      <c r="D39" s="25" t="s">
        <v>120</v>
      </c>
      <c r="E39" s="25" t="s">
        <v>120</v>
      </c>
      <c r="F39" s="1"/>
      <c r="G39" s="1"/>
      <c r="H39" s="11"/>
      <c r="I39" s="11"/>
      <c r="J39" s="1"/>
      <c r="K39" s="11"/>
      <c r="L39" s="1"/>
      <c r="M39" s="11"/>
      <c r="N39" s="1"/>
      <c r="O39" s="1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21" t="s">
        <v>121</v>
      </c>
      <c r="B40" s="21" t="s">
        <v>121</v>
      </c>
      <c r="C40" s="21" t="s">
        <v>121</v>
      </c>
      <c r="D40" s="21" t="s">
        <v>120</v>
      </c>
      <c r="E40" s="21" t="s">
        <v>121</v>
      </c>
      <c r="F40" s="1"/>
      <c r="G40" s="1"/>
      <c r="H40" s="11"/>
      <c r="I40" s="11"/>
      <c r="J40" s="1"/>
      <c r="K40" s="11"/>
      <c r="L40" s="1"/>
      <c r="M40" s="11"/>
      <c r="N40" s="1"/>
      <c r="O40" s="1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21" t="s">
        <v>121</v>
      </c>
      <c r="B41" s="21" t="s">
        <v>121</v>
      </c>
      <c r="C41" s="21" t="s">
        <v>121</v>
      </c>
      <c r="D41" s="21" t="s">
        <v>121</v>
      </c>
      <c r="E41" s="21" t="s">
        <v>120</v>
      </c>
      <c r="F41" s="1"/>
      <c r="G41" s="1"/>
      <c r="H41" s="11"/>
      <c r="I41" s="11"/>
      <c r="J41" s="1"/>
      <c r="K41" s="11"/>
      <c r="L41" s="1"/>
      <c r="M41" s="11"/>
      <c r="N41" s="1"/>
      <c r="O41" s="1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21" t="s">
        <v>121</v>
      </c>
      <c r="B42" s="21" t="s">
        <v>121</v>
      </c>
      <c r="C42" s="21" t="s">
        <v>121</v>
      </c>
      <c r="D42" s="21" t="s">
        <v>121</v>
      </c>
      <c r="E42" s="21" t="s">
        <v>121</v>
      </c>
      <c r="F42" s="1"/>
      <c r="G42" s="1"/>
      <c r="H42" s="11"/>
      <c r="I42" s="11"/>
      <c r="J42" s="1"/>
      <c r="K42" s="11"/>
      <c r="L42" s="1"/>
      <c r="M42" s="11"/>
      <c r="N42" s="1"/>
      <c r="O42" s="1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1"/>
      <c r="B43" s="1"/>
      <c r="C43" s="1"/>
      <c r="D43" s="2"/>
      <c r="E43" s="2"/>
      <c r="F43" s="1"/>
      <c r="G43" s="1"/>
      <c r="H43" s="11"/>
      <c r="I43" s="1"/>
      <c r="J43" s="1"/>
      <c r="K43" s="1"/>
      <c r="L43" s="1"/>
      <c r="M43" s="11"/>
      <c r="N43" s="1"/>
      <c r="O43" s="1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1"/>
      <c r="B44" s="1"/>
      <c r="C44" s="1"/>
      <c r="D44" s="1"/>
      <c r="E44" s="1"/>
      <c r="F44" s="1"/>
      <c r="G44" s="1"/>
      <c r="H44" s="11"/>
      <c r="I44" s="1"/>
      <c r="J44" s="1"/>
      <c r="K44" s="1"/>
      <c r="L44" s="1"/>
      <c r="M44" s="11"/>
      <c r="N44" s="1"/>
      <c r="O44" s="1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1"/>
      <c r="B45" s="1"/>
      <c r="C45" s="1"/>
      <c r="D45" s="2"/>
      <c r="E45" s="2"/>
      <c r="F45" s="1"/>
      <c r="G45" s="1"/>
      <c r="H45" s="11"/>
      <c r="I45" s="1"/>
      <c r="J45" s="1"/>
      <c r="K45" s="1"/>
      <c r="L45" s="1"/>
      <c r="M45" s="1"/>
      <c r="N45" s="1"/>
      <c r="O45" s="1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1"/>
      <c r="B46" s="1"/>
      <c r="C46" s="1"/>
      <c r="D46" s="5"/>
      <c r="E46" s="2"/>
      <c r="F46" s="1"/>
      <c r="G46" s="1"/>
      <c r="H46" s="11"/>
      <c r="I46" s="1"/>
      <c r="J46" s="1"/>
      <c r="K46" s="1"/>
      <c r="L46" s="1"/>
      <c r="M46" s="1"/>
      <c r="N46" s="1"/>
      <c r="O46" s="1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1"/>
      <c r="B47" s="1"/>
      <c r="C47" s="1"/>
      <c r="D47" s="2"/>
      <c r="E47" s="2"/>
      <c r="F47" s="1"/>
      <c r="G47" s="1"/>
      <c r="H47" s="1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1"/>
      <c r="B48" s="1"/>
      <c r="C48" s="1"/>
      <c r="D48" s="2"/>
      <c r="E48" s="2"/>
      <c r="F48" s="1"/>
      <c r="G48" s="1"/>
      <c r="H48" s="1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1"/>
      <c r="B49" s="1"/>
      <c r="C49" s="1"/>
      <c r="D49" s="1"/>
      <c r="E49" s="1"/>
      <c r="F49" s="1"/>
      <c r="G49" s="1"/>
      <c r="H49" s="1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1"/>
      <c r="B50" s="1"/>
      <c r="C50" s="1"/>
      <c r="D50" s="1"/>
      <c r="E50" s="1"/>
      <c r="F50" s="1"/>
      <c r="G50" s="1"/>
      <c r="H50" s="1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1"/>
      <c r="B51" s="1"/>
      <c r="C51" s="1"/>
      <c r="D51" s="5"/>
      <c r="E51" s="2"/>
      <c r="F51" s="1"/>
      <c r="G51" s="1"/>
      <c r="H51" s="1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4"/>
    </row>
    <row r="52" spans="1:32" x14ac:dyDescent="0.25">
      <c r="A52" s="1"/>
      <c r="B52" s="1"/>
      <c r="C52" s="1"/>
      <c r="D52" s="1"/>
      <c r="E52" s="1"/>
      <c r="F52" s="1"/>
      <c r="G52" s="1"/>
      <c r="H52" s="1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3"/>
      <c r="AF52" s="1"/>
    </row>
    <row r="53" spans="1:32" x14ac:dyDescent="0.25">
      <c r="F53" s="1"/>
      <c r="H53" s="1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32" x14ac:dyDescent="0.25">
      <c r="F54" s="1"/>
      <c r="H54" s="1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32" x14ac:dyDescent="0.25">
      <c r="F55" s="1"/>
      <c r="H55" s="1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32" x14ac:dyDescent="0.25">
      <c r="F56" s="1"/>
      <c r="H56" s="1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32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</sheetData>
  <mergeCells count="7">
    <mergeCell ref="A30:E30"/>
    <mergeCell ref="A1:F1"/>
    <mergeCell ref="A2:F2"/>
    <mergeCell ref="U19:U28"/>
    <mergeCell ref="U4:U14"/>
    <mergeCell ref="U15:U16"/>
    <mergeCell ref="U17:U18"/>
  </mergeCells>
  <conditionalFormatting sqref="F5:F30 F45:F51 F53:F56">
    <cfRule type="containsText" dxfId="67" priority="7" operator="containsText" text="fail">
      <formula>NOT(ISERROR(SEARCH("fail",F5)))</formula>
    </cfRule>
    <cfRule type="containsText" dxfId="66" priority="8" operator="containsText" text="pass">
      <formula>NOT(ISERROR(SEARCH("pass",F5)))</formula>
    </cfRule>
  </conditionalFormatting>
  <conditionalFormatting sqref="F4">
    <cfRule type="containsText" dxfId="65" priority="5" operator="containsText" text="fail">
      <formula>NOT(ISERROR(SEARCH("fail",F4)))</formula>
    </cfRule>
    <cfRule type="containsText" dxfId="64" priority="6" operator="containsText" text="pass">
      <formula>NOT(ISERROR(SEARCH("pass",F4)))</formula>
    </cfRule>
  </conditionalFormatting>
  <conditionalFormatting sqref="F43:F44">
    <cfRule type="containsText" dxfId="63" priority="3" operator="containsText" text="fail">
      <formula>NOT(ISERROR(SEARCH("fail",F43)))</formula>
    </cfRule>
    <cfRule type="containsText" dxfId="62" priority="4" operator="containsText" text="pass">
      <formula>NOT(ISERROR(SEARCH("pass",F43)))</formula>
    </cfRule>
  </conditionalFormatting>
  <conditionalFormatting sqref="F31:F42">
    <cfRule type="containsText" dxfId="61" priority="1" operator="containsText" text="fail">
      <formula>NOT(ISERROR(SEARCH("fail",F31)))</formula>
    </cfRule>
    <cfRule type="containsText" dxfId="60" priority="2" operator="containsText" text="pass">
      <formula>NOT(ISERROR(SEARCH("pass",F31)))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6E23-19DD-49CA-8570-B3D08EF36B05}">
  <sheetPr codeName="Sheet4"/>
  <dimension ref="A1:AF157"/>
  <sheetViews>
    <sheetView topLeftCell="Q40" zoomScale="83" workbookViewId="0">
      <selection activeCell="U45" sqref="U45"/>
    </sheetView>
  </sheetViews>
  <sheetFormatPr defaultRowHeight="15" x14ac:dyDescent="0.25"/>
  <cols>
    <col min="5" max="5" width="12.140625" bestFit="1" customWidth="1"/>
    <col min="6" max="6" width="15.425781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2" x14ac:dyDescent="0.25">
      <c r="A1" s="37" t="s">
        <v>18</v>
      </c>
      <c r="B1" s="37"/>
      <c r="C1" s="37"/>
      <c r="D1" s="37"/>
      <c r="E1" s="37"/>
      <c r="F1" s="3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7" t="s">
        <v>98</v>
      </c>
      <c r="B2" s="37"/>
      <c r="C2" s="37"/>
      <c r="D2" s="37"/>
      <c r="E2" s="37"/>
      <c r="F2" s="3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6">
        <v>1</v>
      </c>
      <c r="B4" s="13">
        <v>-1</v>
      </c>
      <c r="C4" s="13">
        <v>4</v>
      </c>
      <c r="D4" s="13" t="s">
        <v>17</v>
      </c>
      <c r="E4" s="13" t="s">
        <v>17</v>
      </c>
      <c r="F4" s="6" t="s">
        <v>16</v>
      </c>
      <c r="G4" s="13">
        <v>1</v>
      </c>
      <c r="H4" s="13"/>
      <c r="I4" s="13"/>
      <c r="J4" s="13"/>
      <c r="K4" s="13"/>
      <c r="L4" s="13"/>
      <c r="M4" s="13"/>
      <c r="N4" s="13"/>
      <c r="O4" s="13"/>
      <c r="P4" s="13"/>
      <c r="Q4" s="13">
        <v>1</v>
      </c>
      <c r="R4" s="13">
        <v>1</v>
      </c>
      <c r="S4" s="19">
        <f>SUM(G4:R4)/12</f>
        <v>0.25</v>
      </c>
      <c r="T4" s="20">
        <f>SUM(J4,L4,N4,P4,Q4,R4)/6</f>
        <v>0.33333333333333331</v>
      </c>
      <c r="U4" s="20">
        <v>0.1</v>
      </c>
      <c r="V4" s="18">
        <f>R4/1</f>
        <v>1</v>
      </c>
      <c r="W4" s="1"/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6">
        <v>2</v>
      </c>
      <c r="B5" s="6">
        <v>-1</v>
      </c>
      <c r="C5" s="13">
        <v>5</v>
      </c>
      <c r="D5" s="13" t="s">
        <v>17</v>
      </c>
      <c r="E5" s="6" t="s">
        <v>17</v>
      </c>
      <c r="F5" s="6" t="s">
        <v>16</v>
      </c>
      <c r="G5" s="6">
        <v>1</v>
      </c>
      <c r="H5" s="6">
        <v>1</v>
      </c>
      <c r="I5" s="6"/>
      <c r="J5" s="6">
        <v>1</v>
      </c>
      <c r="K5" s="6"/>
      <c r="L5" s="6">
        <v>1</v>
      </c>
      <c r="M5" s="6"/>
      <c r="N5" s="6">
        <v>1</v>
      </c>
      <c r="O5" s="6"/>
      <c r="P5" s="6">
        <v>1</v>
      </c>
      <c r="Q5" s="6"/>
      <c r="R5" s="6">
        <v>1</v>
      </c>
      <c r="S5" s="19">
        <f t="shared" ref="S5:S52" si="0">SUM(G5:R5)/12</f>
        <v>0.58333333333333337</v>
      </c>
      <c r="T5" s="20">
        <f t="shared" ref="T5:T52" si="1">SUM(J5,L5,N5,P5,Q5,R5)/6</f>
        <v>0.83333333333333337</v>
      </c>
      <c r="U5" s="34">
        <v>0.1</v>
      </c>
      <c r="V5" s="18">
        <f t="shared" ref="V5:V52" si="2">R5/1</f>
        <v>1</v>
      </c>
      <c r="W5" s="1"/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6">
        <v>3</v>
      </c>
      <c r="B6" s="6">
        <v>-1</v>
      </c>
      <c r="C6" s="13">
        <v>6</v>
      </c>
      <c r="D6" s="13" t="s">
        <v>17</v>
      </c>
      <c r="E6" s="6" t="s">
        <v>17</v>
      </c>
      <c r="F6" s="6" t="s">
        <v>16</v>
      </c>
      <c r="G6" s="6">
        <v>1</v>
      </c>
      <c r="H6" s="6">
        <v>1</v>
      </c>
      <c r="I6" s="6"/>
      <c r="J6" s="6">
        <v>1</v>
      </c>
      <c r="K6" s="6"/>
      <c r="L6" s="6">
        <v>1</v>
      </c>
      <c r="M6" s="6"/>
      <c r="N6" s="6">
        <v>1</v>
      </c>
      <c r="O6" s="6"/>
      <c r="P6" s="6">
        <v>1</v>
      </c>
      <c r="Q6" s="6"/>
      <c r="R6" s="6">
        <v>1</v>
      </c>
      <c r="S6" s="19">
        <f t="shared" si="0"/>
        <v>0.58333333333333337</v>
      </c>
      <c r="T6" s="20">
        <f t="shared" si="1"/>
        <v>0.83333333333333337</v>
      </c>
      <c r="U6" s="34"/>
      <c r="V6" s="18">
        <f t="shared" si="2"/>
        <v>1</v>
      </c>
      <c r="W6" s="1"/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6">
        <v>4</v>
      </c>
      <c r="B7" s="6">
        <v>-1</v>
      </c>
      <c r="C7" s="13">
        <v>500</v>
      </c>
      <c r="D7" s="13" t="s">
        <v>17</v>
      </c>
      <c r="E7" s="6" t="s">
        <v>17</v>
      </c>
      <c r="F7" s="6" t="s">
        <v>16</v>
      </c>
      <c r="G7" s="6">
        <v>1</v>
      </c>
      <c r="H7" s="6">
        <v>1</v>
      </c>
      <c r="I7" s="6"/>
      <c r="J7" s="6">
        <v>1</v>
      </c>
      <c r="K7" s="6"/>
      <c r="L7" s="6">
        <v>1</v>
      </c>
      <c r="M7" s="6"/>
      <c r="N7" s="6">
        <v>1</v>
      </c>
      <c r="O7" s="6"/>
      <c r="P7" s="6">
        <v>1</v>
      </c>
      <c r="Q7" s="6"/>
      <c r="R7" s="6">
        <v>1</v>
      </c>
      <c r="S7" s="19">
        <f t="shared" si="0"/>
        <v>0.58333333333333337</v>
      </c>
      <c r="T7" s="20">
        <f t="shared" si="1"/>
        <v>0.83333333333333337</v>
      </c>
      <c r="U7" s="34"/>
      <c r="V7" s="18">
        <f t="shared" si="2"/>
        <v>1</v>
      </c>
      <c r="W7" s="1"/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6">
        <v>5</v>
      </c>
      <c r="B8" s="6">
        <v>-1</v>
      </c>
      <c r="C8" s="6">
        <v>999</v>
      </c>
      <c r="D8" s="13" t="s">
        <v>17</v>
      </c>
      <c r="E8" s="6" t="s">
        <v>17</v>
      </c>
      <c r="F8" s="6" t="s">
        <v>16</v>
      </c>
      <c r="G8" s="6">
        <v>1</v>
      </c>
      <c r="H8" s="6">
        <v>1</v>
      </c>
      <c r="I8" s="6"/>
      <c r="J8" s="6">
        <v>1</v>
      </c>
      <c r="K8" s="6"/>
      <c r="L8" s="6">
        <v>1</v>
      </c>
      <c r="M8" s="6"/>
      <c r="N8" s="6">
        <v>1</v>
      </c>
      <c r="O8" s="6"/>
      <c r="P8" s="6">
        <v>1</v>
      </c>
      <c r="Q8" s="6"/>
      <c r="R8" s="6">
        <v>1</v>
      </c>
      <c r="S8" s="19">
        <f t="shared" si="0"/>
        <v>0.58333333333333337</v>
      </c>
      <c r="T8" s="20">
        <f t="shared" si="1"/>
        <v>0.83333333333333337</v>
      </c>
      <c r="U8" s="34"/>
      <c r="V8" s="18">
        <f t="shared" si="2"/>
        <v>1</v>
      </c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6">
        <v>6</v>
      </c>
      <c r="B9" s="6">
        <v>-1</v>
      </c>
      <c r="C9" s="6">
        <v>1000</v>
      </c>
      <c r="D9" s="13" t="s">
        <v>17</v>
      </c>
      <c r="E9" s="6" t="s">
        <v>17</v>
      </c>
      <c r="F9" s="6" t="s">
        <v>16</v>
      </c>
      <c r="G9" s="6">
        <v>1</v>
      </c>
      <c r="H9" s="6">
        <v>1</v>
      </c>
      <c r="I9" s="6"/>
      <c r="J9" s="6">
        <v>1</v>
      </c>
      <c r="K9" s="6"/>
      <c r="L9" s="6">
        <v>1</v>
      </c>
      <c r="M9" s="6"/>
      <c r="N9" s="6">
        <v>1</v>
      </c>
      <c r="O9" s="6"/>
      <c r="P9" s="6">
        <v>1</v>
      </c>
      <c r="Q9" s="6"/>
      <c r="R9" s="6">
        <v>1</v>
      </c>
      <c r="S9" s="19">
        <f t="shared" si="0"/>
        <v>0.58333333333333337</v>
      </c>
      <c r="T9" s="20">
        <f t="shared" si="1"/>
        <v>0.83333333333333337</v>
      </c>
      <c r="U9" s="34"/>
      <c r="V9" s="18">
        <f t="shared" si="2"/>
        <v>1</v>
      </c>
      <c r="W9" s="1"/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6">
        <v>7</v>
      </c>
      <c r="B10" s="6">
        <v>-1</v>
      </c>
      <c r="C10" s="6">
        <v>1001</v>
      </c>
      <c r="D10" s="13" t="s">
        <v>17</v>
      </c>
      <c r="E10" s="6" t="s">
        <v>17</v>
      </c>
      <c r="F10" s="6" t="s">
        <v>16</v>
      </c>
      <c r="G10" s="6">
        <v>1</v>
      </c>
      <c r="H10" s="6"/>
      <c r="I10" s="6"/>
      <c r="J10" s="6"/>
      <c r="K10" s="6"/>
      <c r="L10" s="6"/>
      <c r="M10" s="6"/>
      <c r="N10" s="6"/>
      <c r="O10" s="6"/>
      <c r="P10" s="6"/>
      <c r="Q10" s="6">
        <v>1</v>
      </c>
      <c r="R10" s="6">
        <v>1</v>
      </c>
      <c r="S10" s="19">
        <f t="shared" si="0"/>
        <v>0.25</v>
      </c>
      <c r="T10" s="20">
        <f t="shared" si="1"/>
        <v>0.33333333333333331</v>
      </c>
      <c r="U10" s="28" t="s">
        <v>128</v>
      </c>
      <c r="V10" s="18">
        <f t="shared" si="2"/>
        <v>1</v>
      </c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6">
        <v>8</v>
      </c>
      <c r="B11" s="6">
        <v>0</v>
      </c>
      <c r="C11" s="13">
        <v>4</v>
      </c>
      <c r="D11" s="13" t="s">
        <v>17</v>
      </c>
      <c r="E11" s="6" t="s">
        <v>17</v>
      </c>
      <c r="F11" s="6" t="s">
        <v>16</v>
      </c>
      <c r="G11" s="6">
        <v>1</v>
      </c>
      <c r="H11" s="6"/>
      <c r="I11" s="6"/>
      <c r="J11" s="6"/>
      <c r="K11" s="6"/>
      <c r="L11" s="6"/>
      <c r="M11" s="6"/>
      <c r="N11" s="6"/>
      <c r="O11" s="6"/>
      <c r="P11" s="6"/>
      <c r="Q11" s="6">
        <v>1</v>
      </c>
      <c r="R11" s="6">
        <v>1</v>
      </c>
      <c r="S11" s="19">
        <f t="shared" si="0"/>
        <v>0.25</v>
      </c>
      <c r="T11" s="20">
        <f t="shared" si="1"/>
        <v>0.33333333333333331</v>
      </c>
      <c r="U11" s="28">
        <v>0.1</v>
      </c>
      <c r="V11" s="18">
        <f t="shared" si="2"/>
        <v>1</v>
      </c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6">
        <v>9</v>
      </c>
      <c r="B12" s="6">
        <v>0</v>
      </c>
      <c r="C12" s="13">
        <v>5</v>
      </c>
      <c r="D12" s="13">
        <f t="shared" ref="D12:D23" si="3">0.01*C12</f>
        <v>0.05</v>
      </c>
      <c r="E12" s="6">
        <v>0.05</v>
      </c>
      <c r="F12" s="6" t="s">
        <v>16</v>
      </c>
      <c r="G12" s="6">
        <v>1</v>
      </c>
      <c r="H12" s="6">
        <v>1</v>
      </c>
      <c r="I12" s="6">
        <v>1</v>
      </c>
      <c r="J12" s="6"/>
      <c r="K12" s="6"/>
      <c r="L12" s="6"/>
      <c r="M12" s="6"/>
      <c r="N12" s="6"/>
      <c r="O12" s="6"/>
      <c r="P12" s="6"/>
      <c r="Q12" s="6"/>
      <c r="R12" s="6">
        <v>1</v>
      </c>
      <c r="S12" s="19">
        <f t="shared" si="0"/>
        <v>0.33333333333333331</v>
      </c>
      <c r="T12" s="20">
        <f t="shared" si="1"/>
        <v>0.16666666666666666</v>
      </c>
      <c r="U12" s="34">
        <v>0.1</v>
      </c>
      <c r="V12" s="18">
        <f t="shared" si="2"/>
        <v>1</v>
      </c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6">
        <v>10</v>
      </c>
      <c r="B13" s="6">
        <v>0</v>
      </c>
      <c r="C13" s="13">
        <v>6</v>
      </c>
      <c r="D13" s="13">
        <f t="shared" si="3"/>
        <v>0.06</v>
      </c>
      <c r="E13" s="6">
        <v>0.06</v>
      </c>
      <c r="F13" s="6" t="s">
        <v>16</v>
      </c>
      <c r="G13" s="6">
        <v>1</v>
      </c>
      <c r="H13" s="6">
        <v>1</v>
      </c>
      <c r="I13" s="6">
        <v>1</v>
      </c>
      <c r="J13" s="6"/>
      <c r="K13" s="6"/>
      <c r="L13" s="6"/>
      <c r="M13" s="6"/>
      <c r="N13" s="6"/>
      <c r="O13" s="6"/>
      <c r="P13" s="6"/>
      <c r="Q13" s="6"/>
      <c r="R13" s="6">
        <v>1</v>
      </c>
      <c r="S13" s="19">
        <f t="shared" si="0"/>
        <v>0.33333333333333331</v>
      </c>
      <c r="T13" s="20">
        <f t="shared" si="1"/>
        <v>0.16666666666666666</v>
      </c>
      <c r="U13" s="34"/>
      <c r="V13" s="18">
        <f t="shared" si="2"/>
        <v>1</v>
      </c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6">
        <v>11</v>
      </c>
      <c r="B14" s="6">
        <v>0</v>
      </c>
      <c r="C14" s="13">
        <v>500</v>
      </c>
      <c r="D14" s="13">
        <f t="shared" si="3"/>
        <v>5</v>
      </c>
      <c r="E14" s="6">
        <v>5</v>
      </c>
      <c r="F14" s="6" t="s">
        <v>16</v>
      </c>
      <c r="G14" s="6">
        <v>1</v>
      </c>
      <c r="H14" s="6">
        <v>1</v>
      </c>
      <c r="I14" s="6">
        <v>1</v>
      </c>
      <c r="J14" s="6"/>
      <c r="K14" s="6"/>
      <c r="L14" s="6"/>
      <c r="M14" s="6"/>
      <c r="N14" s="6"/>
      <c r="O14" s="6"/>
      <c r="P14" s="6"/>
      <c r="Q14" s="6"/>
      <c r="R14" s="6">
        <v>1</v>
      </c>
      <c r="S14" s="19">
        <f t="shared" si="0"/>
        <v>0.33333333333333331</v>
      </c>
      <c r="T14" s="20">
        <f t="shared" si="1"/>
        <v>0.16666666666666666</v>
      </c>
      <c r="U14" s="34"/>
      <c r="V14" s="18">
        <f t="shared" si="2"/>
        <v>1</v>
      </c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6">
        <v>12</v>
      </c>
      <c r="B15" s="6">
        <v>0</v>
      </c>
      <c r="C15" s="6">
        <v>999</v>
      </c>
      <c r="D15" s="13">
        <f t="shared" si="3"/>
        <v>9.99</v>
      </c>
      <c r="E15" s="6">
        <v>9.99</v>
      </c>
      <c r="F15" s="6" t="s">
        <v>16</v>
      </c>
      <c r="G15" s="6">
        <v>1</v>
      </c>
      <c r="H15" s="6">
        <v>1</v>
      </c>
      <c r="I15" s="6">
        <v>1</v>
      </c>
      <c r="J15" s="6"/>
      <c r="K15" s="6"/>
      <c r="L15" s="6"/>
      <c r="M15" s="6"/>
      <c r="N15" s="6"/>
      <c r="O15" s="6"/>
      <c r="P15" s="6"/>
      <c r="Q15" s="6"/>
      <c r="R15" s="6">
        <v>1</v>
      </c>
      <c r="S15" s="19">
        <f t="shared" si="0"/>
        <v>0.33333333333333331</v>
      </c>
      <c r="T15" s="20">
        <f t="shared" si="1"/>
        <v>0.16666666666666666</v>
      </c>
      <c r="U15" s="34"/>
      <c r="V15" s="18">
        <f t="shared" si="2"/>
        <v>1</v>
      </c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6">
        <v>13</v>
      </c>
      <c r="B16" s="6">
        <v>0</v>
      </c>
      <c r="C16" s="6">
        <v>1000</v>
      </c>
      <c r="D16" s="13">
        <f t="shared" si="3"/>
        <v>10</v>
      </c>
      <c r="E16" s="6">
        <v>10</v>
      </c>
      <c r="F16" s="6" t="s">
        <v>16</v>
      </c>
      <c r="G16" s="6">
        <v>1</v>
      </c>
      <c r="H16" s="6">
        <v>1</v>
      </c>
      <c r="I16" s="6">
        <v>1</v>
      </c>
      <c r="J16" s="6"/>
      <c r="K16" s="6"/>
      <c r="L16" s="6"/>
      <c r="M16" s="6"/>
      <c r="N16" s="6"/>
      <c r="O16" s="6"/>
      <c r="P16" s="6"/>
      <c r="Q16" s="6"/>
      <c r="R16" s="6">
        <v>1</v>
      </c>
      <c r="S16" s="19">
        <f t="shared" si="0"/>
        <v>0.33333333333333331</v>
      </c>
      <c r="T16" s="20">
        <f t="shared" si="1"/>
        <v>0.16666666666666666</v>
      </c>
      <c r="U16" s="34"/>
      <c r="V16" s="18">
        <f t="shared" si="2"/>
        <v>1</v>
      </c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6">
        <v>14</v>
      </c>
      <c r="B17" s="6">
        <v>0</v>
      </c>
      <c r="C17" s="6">
        <v>1001</v>
      </c>
      <c r="D17" s="13" t="s">
        <v>17</v>
      </c>
      <c r="E17" s="6" t="s">
        <v>17</v>
      </c>
      <c r="F17" s="6" t="s">
        <v>16</v>
      </c>
      <c r="G17" s="6">
        <v>1</v>
      </c>
      <c r="H17" s="6"/>
      <c r="I17" s="6"/>
      <c r="J17" s="6"/>
      <c r="K17" s="6"/>
      <c r="L17" s="6"/>
      <c r="M17" s="6"/>
      <c r="N17" s="6"/>
      <c r="O17" s="6"/>
      <c r="P17" s="6"/>
      <c r="Q17" s="6">
        <v>1</v>
      </c>
      <c r="R17" s="6">
        <v>1</v>
      </c>
      <c r="S17" s="19">
        <f t="shared" si="0"/>
        <v>0.25</v>
      </c>
      <c r="T17" s="20">
        <f t="shared" si="1"/>
        <v>0.33333333333333331</v>
      </c>
      <c r="U17" s="28" t="s">
        <v>135</v>
      </c>
      <c r="V17" s="18">
        <f t="shared" si="2"/>
        <v>1</v>
      </c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6">
        <v>15</v>
      </c>
      <c r="B18" s="6">
        <v>1</v>
      </c>
      <c r="C18" s="13">
        <v>4</v>
      </c>
      <c r="D18" s="13" t="s">
        <v>17</v>
      </c>
      <c r="E18" s="6" t="s">
        <v>17</v>
      </c>
      <c r="F18" s="6" t="s">
        <v>16</v>
      </c>
      <c r="G18" s="6">
        <v>1</v>
      </c>
      <c r="H18" s="6"/>
      <c r="I18" s="6"/>
      <c r="J18" s="6"/>
      <c r="K18" s="6"/>
      <c r="L18" s="6"/>
      <c r="M18" s="6"/>
      <c r="N18" s="6"/>
      <c r="O18" s="6"/>
      <c r="P18" s="6"/>
      <c r="Q18" s="6">
        <v>1</v>
      </c>
      <c r="R18" s="6">
        <v>1</v>
      </c>
      <c r="S18" s="19">
        <f t="shared" si="0"/>
        <v>0.25</v>
      </c>
      <c r="T18" s="20">
        <f t="shared" si="1"/>
        <v>0.33333333333333331</v>
      </c>
      <c r="U18" s="1" t="s">
        <v>128</v>
      </c>
      <c r="V18" s="18">
        <f t="shared" si="2"/>
        <v>1</v>
      </c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6">
        <v>16</v>
      </c>
      <c r="B19" s="6">
        <v>1</v>
      </c>
      <c r="C19" s="13">
        <v>5</v>
      </c>
      <c r="D19" s="13">
        <f t="shared" si="3"/>
        <v>0.05</v>
      </c>
      <c r="E19" s="6">
        <v>0.05</v>
      </c>
      <c r="F19" s="6" t="s">
        <v>16</v>
      </c>
      <c r="G19" s="6">
        <v>1</v>
      </c>
      <c r="H19" s="6">
        <v>1</v>
      </c>
      <c r="I19" s="6">
        <v>1</v>
      </c>
      <c r="J19" s="6"/>
      <c r="K19" s="6"/>
      <c r="L19" s="6"/>
      <c r="M19" s="6"/>
      <c r="N19" s="6"/>
      <c r="O19" s="6"/>
      <c r="P19" s="6"/>
      <c r="Q19" s="6"/>
      <c r="R19" s="6">
        <v>1</v>
      </c>
      <c r="S19" s="19">
        <f t="shared" si="0"/>
        <v>0.33333333333333331</v>
      </c>
      <c r="T19" s="20">
        <f t="shared" si="1"/>
        <v>0.16666666666666666</v>
      </c>
      <c r="U19" s="1" t="s">
        <v>129</v>
      </c>
      <c r="V19" s="18">
        <f t="shared" si="2"/>
        <v>1</v>
      </c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6">
        <v>17</v>
      </c>
      <c r="B20" s="6">
        <v>1</v>
      </c>
      <c r="C20" s="13">
        <v>6</v>
      </c>
      <c r="D20" s="13">
        <f t="shared" si="3"/>
        <v>0.06</v>
      </c>
      <c r="E20" s="6">
        <v>0.06</v>
      </c>
      <c r="F20" s="6" t="s">
        <v>16</v>
      </c>
      <c r="G20" s="6">
        <v>1</v>
      </c>
      <c r="H20" s="6">
        <v>1</v>
      </c>
      <c r="I20" s="6">
        <v>1</v>
      </c>
      <c r="J20" s="6"/>
      <c r="K20" s="6"/>
      <c r="L20" s="6"/>
      <c r="M20" s="6"/>
      <c r="N20" s="6"/>
      <c r="O20" s="6"/>
      <c r="P20" s="6"/>
      <c r="Q20" s="6"/>
      <c r="R20" s="6">
        <v>1</v>
      </c>
      <c r="S20" s="19">
        <f t="shared" si="0"/>
        <v>0.33333333333333331</v>
      </c>
      <c r="T20" s="20">
        <f t="shared" si="1"/>
        <v>0.16666666666666666</v>
      </c>
      <c r="U20" s="1" t="s">
        <v>129</v>
      </c>
      <c r="V20" s="18">
        <f t="shared" si="2"/>
        <v>1</v>
      </c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6">
        <v>18</v>
      </c>
      <c r="B21" s="6">
        <v>1</v>
      </c>
      <c r="C21" s="13">
        <v>500</v>
      </c>
      <c r="D21" s="13">
        <f t="shared" si="3"/>
        <v>5</v>
      </c>
      <c r="E21" s="6">
        <v>5</v>
      </c>
      <c r="F21" s="6" t="s">
        <v>16</v>
      </c>
      <c r="G21" s="6">
        <v>1</v>
      </c>
      <c r="H21" s="6">
        <v>1</v>
      </c>
      <c r="I21" s="6">
        <v>1</v>
      </c>
      <c r="J21" s="6"/>
      <c r="K21" s="6"/>
      <c r="L21" s="6"/>
      <c r="M21" s="6"/>
      <c r="N21" s="6"/>
      <c r="O21" s="6"/>
      <c r="P21" s="6"/>
      <c r="Q21" s="6"/>
      <c r="R21" s="6">
        <v>1</v>
      </c>
      <c r="S21" s="19">
        <f t="shared" si="0"/>
        <v>0.33333333333333331</v>
      </c>
      <c r="T21" s="20">
        <f t="shared" si="1"/>
        <v>0.16666666666666666</v>
      </c>
      <c r="U21" s="1" t="s">
        <v>129</v>
      </c>
      <c r="V21" s="18">
        <f t="shared" si="2"/>
        <v>1</v>
      </c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6">
        <v>19</v>
      </c>
      <c r="B22" s="6">
        <v>1</v>
      </c>
      <c r="C22" s="6">
        <v>999</v>
      </c>
      <c r="D22" s="13">
        <f t="shared" si="3"/>
        <v>9.99</v>
      </c>
      <c r="E22" s="6">
        <v>9.99</v>
      </c>
      <c r="F22" s="6" t="s">
        <v>16</v>
      </c>
      <c r="G22" s="6">
        <v>1</v>
      </c>
      <c r="H22" s="6">
        <v>1</v>
      </c>
      <c r="I22" s="6">
        <v>1</v>
      </c>
      <c r="J22" s="6"/>
      <c r="K22" s="6"/>
      <c r="L22" s="6"/>
      <c r="M22" s="6"/>
      <c r="N22" s="6"/>
      <c r="O22" s="6"/>
      <c r="P22" s="6"/>
      <c r="Q22" s="6"/>
      <c r="R22" s="6">
        <v>1</v>
      </c>
      <c r="S22" s="19">
        <f t="shared" si="0"/>
        <v>0.33333333333333331</v>
      </c>
      <c r="T22" s="20">
        <f t="shared" si="1"/>
        <v>0.16666666666666666</v>
      </c>
      <c r="U22" s="1" t="s">
        <v>129</v>
      </c>
      <c r="V22" s="18">
        <f t="shared" si="2"/>
        <v>1</v>
      </c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6">
        <v>20</v>
      </c>
      <c r="B23" s="6">
        <v>1</v>
      </c>
      <c r="C23" s="6">
        <v>1000</v>
      </c>
      <c r="D23" s="13">
        <f t="shared" si="3"/>
        <v>10</v>
      </c>
      <c r="E23" s="6">
        <v>10</v>
      </c>
      <c r="F23" s="6" t="s">
        <v>16</v>
      </c>
      <c r="G23" s="6">
        <v>1</v>
      </c>
      <c r="H23" s="6">
        <v>1</v>
      </c>
      <c r="I23" s="6">
        <v>1</v>
      </c>
      <c r="J23" s="6"/>
      <c r="K23" s="6"/>
      <c r="L23" s="6"/>
      <c r="M23" s="6"/>
      <c r="N23" s="6"/>
      <c r="O23" s="6"/>
      <c r="P23" s="6"/>
      <c r="Q23" s="6"/>
      <c r="R23" s="6">
        <v>1</v>
      </c>
      <c r="S23" s="19">
        <f t="shared" si="0"/>
        <v>0.33333333333333331</v>
      </c>
      <c r="T23" s="20">
        <f t="shared" si="1"/>
        <v>0.16666666666666666</v>
      </c>
      <c r="U23" s="1" t="s">
        <v>129</v>
      </c>
      <c r="V23" s="18">
        <f t="shared" si="2"/>
        <v>1</v>
      </c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6">
        <v>21</v>
      </c>
      <c r="B24" s="6">
        <v>1</v>
      </c>
      <c r="C24" s="6">
        <v>1001</v>
      </c>
      <c r="D24" s="13" t="s">
        <v>17</v>
      </c>
      <c r="E24" s="6" t="s">
        <v>17</v>
      </c>
      <c r="F24" s="6" t="s">
        <v>16</v>
      </c>
      <c r="G24" s="6">
        <v>1</v>
      </c>
      <c r="H24" s="6"/>
      <c r="I24" s="6"/>
      <c r="J24" s="6"/>
      <c r="K24" s="6"/>
      <c r="L24" s="6"/>
      <c r="M24" s="6"/>
      <c r="N24" s="6"/>
      <c r="O24" s="6"/>
      <c r="P24" s="6"/>
      <c r="Q24" s="6">
        <v>1</v>
      </c>
      <c r="R24" s="6">
        <v>1</v>
      </c>
      <c r="S24" s="19">
        <f t="shared" si="0"/>
        <v>0.25</v>
      </c>
      <c r="T24" s="20">
        <f t="shared" si="1"/>
        <v>0.33333333333333331</v>
      </c>
      <c r="U24" s="1" t="s">
        <v>135</v>
      </c>
      <c r="V24" s="18">
        <f t="shared" si="2"/>
        <v>1</v>
      </c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6">
        <v>22</v>
      </c>
      <c r="B25" s="6">
        <v>2</v>
      </c>
      <c r="C25" s="13">
        <v>4</v>
      </c>
      <c r="D25" s="6" t="s">
        <v>17</v>
      </c>
      <c r="E25" s="6" t="s">
        <v>17</v>
      </c>
      <c r="F25" s="6" t="s">
        <v>16</v>
      </c>
      <c r="G25" s="6">
        <v>1</v>
      </c>
      <c r="H25" s="6"/>
      <c r="I25" s="6"/>
      <c r="J25" s="6"/>
      <c r="K25" s="6"/>
      <c r="L25" s="6"/>
      <c r="M25" s="6"/>
      <c r="N25" s="6"/>
      <c r="O25" s="6"/>
      <c r="P25" s="6"/>
      <c r="Q25" s="6">
        <v>1</v>
      </c>
      <c r="R25" s="6">
        <v>1</v>
      </c>
      <c r="S25" s="19">
        <f t="shared" si="0"/>
        <v>0.25</v>
      </c>
      <c r="T25" s="20">
        <f t="shared" si="1"/>
        <v>0.33333333333333331</v>
      </c>
      <c r="U25" s="1" t="s">
        <v>135</v>
      </c>
      <c r="V25" s="18">
        <f t="shared" si="2"/>
        <v>1</v>
      </c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6">
        <v>23</v>
      </c>
      <c r="B26" s="6">
        <v>2</v>
      </c>
      <c r="C26" s="13">
        <v>5</v>
      </c>
      <c r="D26" s="6">
        <f>0.01*C26</f>
        <v>0.05</v>
      </c>
      <c r="E26" s="6">
        <v>0.05</v>
      </c>
      <c r="F26" s="6" t="s">
        <v>16</v>
      </c>
      <c r="G26" s="6">
        <v>1</v>
      </c>
      <c r="H26" s="6">
        <v>1</v>
      </c>
      <c r="I26" s="6">
        <v>1</v>
      </c>
      <c r="J26" s="6"/>
      <c r="K26" s="6"/>
      <c r="L26" s="6"/>
      <c r="M26" s="6"/>
      <c r="N26" s="6"/>
      <c r="O26" s="6"/>
      <c r="P26" s="6"/>
      <c r="Q26" s="6"/>
      <c r="R26" s="6">
        <v>1</v>
      </c>
      <c r="S26" s="19">
        <f t="shared" si="0"/>
        <v>0.33333333333333331</v>
      </c>
      <c r="T26" s="20">
        <f t="shared" si="1"/>
        <v>0.16666666666666666</v>
      </c>
      <c r="U26" s="1" t="s">
        <v>129</v>
      </c>
      <c r="V26" s="18">
        <f t="shared" si="2"/>
        <v>1</v>
      </c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6">
        <v>24</v>
      </c>
      <c r="B27" s="6">
        <v>4</v>
      </c>
      <c r="C27" s="13">
        <v>6</v>
      </c>
      <c r="D27" s="6">
        <f>0.015*C27</f>
        <v>0.09</v>
      </c>
      <c r="E27" s="6">
        <v>0.09</v>
      </c>
      <c r="F27" s="6" t="s">
        <v>16</v>
      </c>
      <c r="G27" s="6">
        <v>1</v>
      </c>
      <c r="H27" s="6">
        <v>1</v>
      </c>
      <c r="I27" s="6"/>
      <c r="J27" s="6">
        <v>1</v>
      </c>
      <c r="K27" s="6">
        <v>1</v>
      </c>
      <c r="L27" s="6"/>
      <c r="M27" s="6"/>
      <c r="N27" s="6"/>
      <c r="O27" s="6"/>
      <c r="P27" s="6"/>
      <c r="Q27" s="6"/>
      <c r="R27" s="6">
        <v>1</v>
      </c>
      <c r="S27" s="19">
        <f t="shared" si="0"/>
        <v>0.41666666666666669</v>
      </c>
      <c r="T27" s="20">
        <f t="shared" si="1"/>
        <v>0.33333333333333331</v>
      </c>
      <c r="U27" s="34">
        <v>0.1</v>
      </c>
      <c r="V27" s="18">
        <f t="shared" si="2"/>
        <v>1</v>
      </c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6">
        <v>25</v>
      </c>
      <c r="B28" s="6">
        <v>4</v>
      </c>
      <c r="C28" s="13">
        <v>500</v>
      </c>
      <c r="D28" s="6">
        <f>0.015*C28</f>
        <v>7.5</v>
      </c>
      <c r="E28" s="6">
        <v>7.5</v>
      </c>
      <c r="F28" s="6" t="s">
        <v>16</v>
      </c>
      <c r="G28" s="6">
        <v>1</v>
      </c>
      <c r="H28" s="6">
        <v>1</v>
      </c>
      <c r="I28" s="6"/>
      <c r="J28" s="6">
        <v>1</v>
      </c>
      <c r="K28" s="6">
        <v>1</v>
      </c>
      <c r="L28" s="6"/>
      <c r="M28" s="6"/>
      <c r="N28" s="6"/>
      <c r="O28" s="6"/>
      <c r="P28" s="6"/>
      <c r="Q28" s="6"/>
      <c r="R28" s="6">
        <v>1</v>
      </c>
      <c r="S28" s="19">
        <f t="shared" si="0"/>
        <v>0.41666666666666669</v>
      </c>
      <c r="T28" s="20">
        <f t="shared" si="1"/>
        <v>0.33333333333333331</v>
      </c>
      <c r="U28" s="34"/>
      <c r="V28" s="18">
        <f t="shared" si="2"/>
        <v>1</v>
      </c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6">
        <v>26</v>
      </c>
      <c r="B29" s="6">
        <v>8</v>
      </c>
      <c r="C29" s="6">
        <v>999</v>
      </c>
      <c r="D29" s="6">
        <f t="shared" ref="D29:D30" si="4">0.02*C29</f>
        <v>19.98</v>
      </c>
      <c r="E29" s="6">
        <v>19.98</v>
      </c>
      <c r="F29" s="6" t="s">
        <v>16</v>
      </c>
      <c r="G29" s="6">
        <v>1</v>
      </c>
      <c r="H29" s="6">
        <v>1</v>
      </c>
      <c r="I29" s="6"/>
      <c r="J29" s="6">
        <v>1</v>
      </c>
      <c r="K29" s="6"/>
      <c r="L29" s="6">
        <v>1</v>
      </c>
      <c r="M29" s="6">
        <v>1</v>
      </c>
      <c r="N29" s="6"/>
      <c r="O29" s="6"/>
      <c r="P29" s="6"/>
      <c r="Q29" s="6"/>
      <c r="R29" s="6">
        <v>1</v>
      </c>
      <c r="S29" s="19">
        <f t="shared" si="0"/>
        <v>0.5</v>
      </c>
      <c r="T29" s="20">
        <f t="shared" si="1"/>
        <v>0.5</v>
      </c>
      <c r="U29" s="34">
        <v>0.1</v>
      </c>
      <c r="V29" s="18">
        <f t="shared" si="2"/>
        <v>1</v>
      </c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6">
        <v>27</v>
      </c>
      <c r="B30" s="6">
        <v>10</v>
      </c>
      <c r="C30" s="6">
        <v>1000</v>
      </c>
      <c r="D30" s="6">
        <f t="shared" si="4"/>
        <v>20</v>
      </c>
      <c r="E30" s="6">
        <v>20</v>
      </c>
      <c r="F30" s="6" t="s">
        <v>16</v>
      </c>
      <c r="G30" s="6">
        <v>1</v>
      </c>
      <c r="H30" s="6">
        <v>1</v>
      </c>
      <c r="I30" s="6"/>
      <c r="J30" s="6">
        <v>1</v>
      </c>
      <c r="K30" s="6"/>
      <c r="L30" s="6">
        <v>1</v>
      </c>
      <c r="M30" s="6">
        <v>1</v>
      </c>
      <c r="N30" s="6"/>
      <c r="O30" s="6"/>
      <c r="P30" s="6"/>
      <c r="Q30" s="6"/>
      <c r="R30" s="6">
        <v>1</v>
      </c>
      <c r="S30" s="19">
        <f t="shared" si="0"/>
        <v>0.5</v>
      </c>
      <c r="T30" s="20">
        <f t="shared" si="1"/>
        <v>0.5</v>
      </c>
      <c r="U30" s="34"/>
      <c r="V30" s="18">
        <f t="shared" si="2"/>
        <v>1</v>
      </c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6">
        <v>28</v>
      </c>
      <c r="B31" s="6">
        <v>10</v>
      </c>
      <c r="C31" s="6">
        <v>1001</v>
      </c>
      <c r="D31" s="6" t="s">
        <v>17</v>
      </c>
      <c r="E31" s="6" t="s">
        <v>17</v>
      </c>
      <c r="F31" s="6" t="s">
        <v>16</v>
      </c>
      <c r="G31" s="6">
        <v>1</v>
      </c>
      <c r="H31" s="6"/>
      <c r="I31" s="6"/>
      <c r="J31" s="6"/>
      <c r="K31" s="6"/>
      <c r="L31" s="6"/>
      <c r="M31" s="6"/>
      <c r="N31" s="6"/>
      <c r="O31" s="6"/>
      <c r="P31" s="6"/>
      <c r="Q31" s="6">
        <v>1</v>
      </c>
      <c r="R31" s="6">
        <v>1</v>
      </c>
      <c r="S31" s="19">
        <f t="shared" si="0"/>
        <v>0.25</v>
      </c>
      <c r="T31" s="20">
        <f t="shared" si="1"/>
        <v>0.33333333333333331</v>
      </c>
      <c r="U31" s="28">
        <v>0.1</v>
      </c>
      <c r="V31" s="18">
        <f t="shared" si="2"/>
        <v>1</v>
      </c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6">
        <v>29</v>
      </c>
      <c r="B32" s="6">
        <v>19</v>
      </c>
      <c r="C32" s="13">
        <v>4</v>
      </c>
      <c r="D32" s="6" t="s">
        <v>17</v>
      </c>
      <c r="E32" s="6" t="s">
        <v>17</v>
      </c>
      <c r="F32" s="6" t="s">
        <v>16</v>
      </c>
      <c r="G32" s="6">
        <v>1</v>
      </c>
      <c r="H32" s="6"/>
      <c r="I32" s="6"/>
      <c r="J32" s="6"/>
      <c r="K32" s="6"/>
      <c r="L32" s="6"/>
      <c r="M32" s="6"/>
      <c r="N32" s="6"/>
      <c r="O32" s="6"/>
      <c r="P32" s="6"/>
      <c r="Q32" s="6">
        <v>1</v>
      </c>
      <c r="R32" s="6">
        <v>1</v>
      </c>
      <c r="S32" s="19">
        <f t="shared" si="0"/>
        <v>0.25</v>
      </c>
      <c r="T32" s="20">
        <f t="shared" si="1"/>
        <v>0.33333333333333331</v>
      </c>
      <c r="U32" s="28">
        <v>0.1</v>
      </c>
      <c r="V32" s="18">
        <f t="shared" si="2"/>
        <v>1</v>
      </c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6">
        <v>30</v>
      </c>
      <c r="B33" s="6">
        <v>19</v>
      </c>
      <c r="C33" s="13">
        <v>5</v>
      </c>
      <c r="D33" s="6">
        <f t="shared" ref="D33:D44" si="5">0.025*C33</f>
        <v>0.125</v>
      </c>
      <c r="E33" s="6">
        <v>0.125</v>
      </c>
      <c r="F33" s="6" t="s">
        <v>16</v>
      </c>
      <c r="G33" s="6">
        <v>1</v>
      </c>
      <c r="H33" s="6">
        <v>1</v>
      </c>
      <c r="I33" s="6"/>
      <c r="J33" s="6">
        <v>1</v>
      </c>
      <c r="K33" s="6"/>
      <c r="L33" s="6">
        <v>1</v>
      </c>
      <c r="M33" s="6"/>
      <c r="N33" s="6">
        <v>1</v>
      </c>
      <c r="O33" s="6">
        <v>1</v>
      </c>
      <c r="P33" s="6"/>
      <c r="Q33" s="6"/>
      <c r="R33" s="6">
        <v>1</v>
      </c>
      <c r="S33" s="19">
        <f t="shared" si="0"/>
        <v>0.58333333333333337</v>
      </c>
      <c r="T33" s="20">
        <f t="shared" si="1"/>
        <v>0.66666666666666663</v>
      </c>
      <c r="U33" s="34">
        <v>0.1</v>
      </c>
      <c r="V33" s="18">
        <f t="shared" si="2"/>
        <v>1</v>
      </c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6">
        <v>31</v>
      </c>
      <c r="B34" s="6">
        <v>19</v>
      </c>
      <c r="C34" s="13">
        <v>6</v>
      </c>
      <c r="D34" s="6">
        <f t="shared" si="5"/>
        <v>0.15000000000000002</v>
      </c>
      <c r="E34" s="6">
        <v>0.15000000000000002</v>
      </c>
      <c r="F34" s="6" t="s">
        <v>16</v>
      </c>
      <c r="G34" s="6">
        <v>1</v>
      </c>
      <c r="H34" s="6">
        <v>1</v>
      </c>
      <c r="I34" s="6"/>
      <c r="J34" s="6">
        <v>1</v>
      </c>
      <c r="K34" s="6"/>
      <c r="L34" s="6">
        <v>1</v>
      </c>
      <c r="M34" s="6"/>
      <c r="N34" s="6">
        <v>1</v>
      </c>
      <c r="O34" s="6">
        <v>1</v>
      </c>
      <c r="P34" s="6"/>
      <c r="Q34" s="6"/>
      <c r="R34" s="6">
        <v>1</v>
      </c>
      <c r="S34" s="19">
        <f t="shared" si="0"/>
        <v>0.58333333333333337</v>
      </c>
      <c r="T34" s="20">
        <f t="shared" si="1"/>
        <v>0.66666666666666663</v>
      </c>
      <c r="U34" s="34"/>
      <c r="V34" s="18">
        <f t="shared" si="2"/>
        <v>1</v>
      </c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6">
        <v>32</v>
      </c>
      <c r="B35" s="6">
        <v>19</v>
      </c>
      <c r="C35" s="13">
        <v>500</v>
      </c>
      <c r="D35" s="6">
        <f t="shared" si="5"/>
        <v>12.5</v>
      </c>
      <c r="E35" s="6">
        <v>12.5</v>
      </c>
      <c r="F35" s="6" t="s">
        <v>16</v>
      </c>
      <c r="G35" s="6">
        <v>1</v>
      </c>
      <c r="H35" s="6">
        <v>1</v>
      </c>
      <c r="I35" s="6"/>
      <c r="J35" s="6">
        <v>1</v>
      </c>
      <c r="K35" s="6"/>
      <c r="L35" s="6">
        <v>1</v>
      </c>
      <c r="M35" s="6"/>
      <c r="N35" s="6">
        <v>1</v>
      </c>
      <c r="O35" s="6">
        <v>1</v>
      </c>
      <c r="P35" s="6"/>
      <c r="Q35" s="6"/>
      <c r="R35" s="6">
        <v>1</v>
      </c>
      <c r="S35" s="19">
        <f t="shared" si="0"/>
        <v>0.58333333333333337</v>
      </c>
      <c r="T35" s="20">
        <f t="shared" si="1"/>
        <v>0.66666666666666663</v>
      </c>
      <c r="U35" s="34"/>
      <c r="V35" s="18">
        <f t="shared" si="2"/>
        <v>1</v>
      </c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6">
        <v>33</v>
      </c>
      <c r="B36" s="6">
        <v>19</v>
      </c>
      <c r="C36" s="6">
        <v>999</v>
      </c>
      <c r="D36" s="6">
        <f t="shared" si="5"/>
        <v>24.975000000000001</v>
      </c>
      <c r="E36" s="6">
        <v>24.975000000000001</v>
      </c>
      <c r="F36" s="6" t="s">
        <v>16</v>
      </c>
      <c r="G36" s="6">
        <v>1</v>
      </c>
      <c r="H36" s="6">
        <v>1</v>
      </c>
      <c r="I36" s="6"/>
      <c r="J36" s="6">
        <v>1</v>
      </c>
      <c r="K36" s="6"/>
      <c r="L36" s="6">
        <v>1</v>
      </c>
      <c r="M36" s="6"/>
      <c r="N36" s="6">
        <v>1</v>
      </c>
      <c r="O36" s="6">
        <v>1</v>
      </c>
      <c r="P36" s="6"/>
      <c r="Q36" s="6"/>
      <c r="R36" s="6">
        <v>1</v>
      </c>
      <c r="S36" s="19">
        <f t="shared" si="0"/>
        <v>0.58333333333333337</v>
      </c>
      <c r="T36" s="20">
        <f t="shared" si="1"/>
        <v>0.66666666666666663</v>
      </c>
      <c r="U36" s="34"/>
      <c r="V36" s="18">
        <f t="shared" si="2"/>
        <v>1</v>
      </c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>
        <v>34</v>
      </c>
      <c r="B37" s="6">
        <v>19</v>
      </c>
      <c r="C37" s="6">
        <v>1000</v>
      </c>
      <c r="D37" s="6">
        <f t="shared" si="5"/>
        <v>25</v>
      </c>
      <c r="E37" s="6">
        <v>25</v>
      </c>
      <c r="F37" s="6" t="s">
        <v>16</v>
      </c>
      <c r="G37" s="6">
        <v>1</v>
      </c>
      <c r="H37" s="6">
        <v>1</v>
      </c>
      <c r="I37" s="6"/>
      <c r="J37" s="6">
        <v>1</v>
      </c>
      <c r="K37" s="6"/>
      <c r="L37" s="6">
        <v>1</v>
      </c>
      <c r="M37" s="6"/>
      <c r="N37" s="6">
        <v>1</v>
      </c>
      <c r="O37" s="6">
        <v>1</v>
      </c>
      <c r="P37" s="6"/>
      <c r="Q37" s="6"/>
      <c r="R37" s="6">
        <v>1</v>
      </c>
      <c r="S37" s="19">
        <f t="shared" si="0"/>
        <v>0.58333333333333337</v>
      </c>
      <c r="T37" s="20">
        <f t="shared" si="1"/>
        <v>0.66666666666666663</v>
      </c>
      <c r="U37" s="34"/>
      <c r="V37" s="18">
        <f t="shared" si="2"/>
        <v>1</v>
      </c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>
        <v>35</v>
      </c>
      <c r="B38" s="6">
        <v>19</v>
      </c>
      <c r="C38" s="6">
        <v>1001</v>
      </c>
      <c r="D38" s="6" t="s">
        <v>17</v>
      </c>
      <c r="E38" s="6" t="s">
        <v>17</v>
      </c>
      <c r="F38" s="6" t="s">
        <v>16</v>
      </c>
      <c r="G38" s="6">
        <v>1</v>
      </c>
      <c r="H38" s="6"/>
      <c r="I38" s="6"/>
      <c r="J38" s="6"/>
      <c r="K38" s="6"/>
      <c r="L38" s="6"/>
      <c r="M38" s="6"/>
      <c r="N38" s="6"/>
      <c r="O38" s="6"/>
      <c r="P38" s="6"/>
      <c r="Q38" s="6">
        <v>1</v>
      </c>
      <c r="R38" s="6">
        <v>1</v>
      </c>
      <c r="S38" s="19">
        <f t="shared" si="0"/>
        <v>0.25</v>
      </c>
      <c r="T38" s="20">
        <f t="shared" si="1"/>
        <v>0.33333333333333331</v>
      </c>
      <c r="U38" s="1" t="s">
        <v>128</v>
      </c>
      <c r="V38" s="18">
        <f t="shared" si="2"/>
        <v>1</v>
      </c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>
        <v>36</v>
      </c>
      <c r="B39" s="6">
        <v>20</v>
      </c>
      <c r="C39" s="13">
        <v>4</v>
      </c>
      <c r="D39" s="6" t="s">
        <v>17</v>
      </c>
      <c r="E39" s="6" t="s">
        <v>17</v>
      </c>
      <c r="F39" s="6" t="s">
        <v>16</v>
      </c>
      <c r="G39" s="6">
        <v>1</v>
      </c>
      <c r="H39" s="6"/>
      <c r="I39" s="6"/>
      <c r="J39" s="6"/>
      <c r="K39" s="6"/>
      <c r="L39" s="6"/>
      <c r="M39" s="6"/>
      <c r="N39" s="6"/>
      <c r="O39" s="6"/>
      <c r="P39" s="6"/>
      <c r="Q39" s="6">
        <v>1</v>
      </c>
      <c r="R39" s="6">
        <v>1</v>
      </c>
      <c r="S39" s="19">
        <f t="shared" si="0"/>
        <v>0.25</v>
      </c>
      <c r="T39" s="20">
        <f t="shared" si="1"/>
        <v>0.33333333333333331</v>
      </c>
      <c r="U39" s="1" t="s">
        <v>134</v>
      </c>
      <c r="V39" s="18">
        <f t="shared" si="2"/>
        <v>1</v>
      </c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>
        <v>37</v>
      </c>
      <c r="B40" s="6">
        <v>20</v>
      </c>
      <c r="C40" s="13">
        <v>5</v>
      </c>
      <c r="D40" s="6">
        <f t="shared" si="5"/>
        <v>0.125</v>
      </c>
      <c r="E40" s="6">
        <v>0.125</v>
      </c>
      <c r="F40" s="6" t="s">
        <v>16</v>
      </c>
      <c r="G40" s="6">
        <v>1</v>
      </c>
      <c r="H40" s="6">
        <v>1</v>
      </c>
      <c r="I40" s="6"/>
      <c r="J40" s="6">
        <v>1</v>
      </c>
      <c r="K40" s="6"/>
      <c r="L40" s="6">
        <v>1</v>
      </c>
      <c r="M40" s="6"/>
      <c r="N40" s="6">
        <v>1</v>
      </c>
      <c r="O40" s="6">
        <v>1</v>
      </c>
      <c r="P40" s="6"/>
      <c r="Q40" s="6"/>
      <c r="R40" s="6">
        <v>1</v>
      </c>
      <c r="S40" s="19">
        <f t="shared" si="0"/>
        <v>0.58333333333333337</v>
      </c>
      <c r="T40" s="20">
        <f t="shared" si="1"/>
        <v>0.66666666666666663</v>
      </c>
      <c r="U40" s="1" t="s">
        <v>130</v>
      </c>
      <c r="V40" s="18">
        <f t="shared" si="2"/>
        <v>1</v>
      </c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>
        <v>38</v>
      </c>
      <c r="B41" s="6">
        <v>20</v>
      </c>
      <c r="C41" s="13">
        <v>6</v>
      </c>
      <c r="D41" s="6">
        <f t="shared" si="5"/>
        <v>0.15000000000000002</v>
      </c>
      <c r="E41" s="6">
        <v>0.15000000000000002</v>
      </c>
      <c r="F41" s="6" t="s">
        <v>16</v>
      </c>
      <c r="G41" s="6">
        <v>1</v>
      </c>
      <c r="H41" s="6">
        <v>1</v>
      </c>
      <c r="I41" s="6"/>
      <c r="J41" s="6">
        <v>1</v>
      </c>
      <c r="K41" s="6"/>
      <c r="L41" s="6">
        <v>1</v>
      </c>
      <c r="M41" s="6"/>
      <c r="N41" s="6">
        <v>1</v>
      </c>
      <c r="O41" s="6">
        <v>1</v>
      </c>
      <c r="P41" s="6"/>
      <c r="Q41" s="6"/>
      <c r="R41" s="6">
        <v>1</v>
      </c>
      <c r="S41" s="19">
        <f t="shared" si="0"/>
        <v>0.58333333333333337</v>
      </c>
      <c r="T41" s="20">
        <f t="shared" si="1"/>
        <v>0.66666666666666663</v>
      </c>
      <c r="U41" s="1" t="s">
        <v>130</v>
      </c>
      <c r="V41" s="18">
        <f t="shared" si="2"/>
        <v>1</v>
      </c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>
        <v>39</v>
      </c>
      <c r="B42" s="6">
        <v>20</v>
      </c>
      <c r="C42" s="13">
        <v>500</v>
      </c>
      <c r="D42" s="6">
        <f t="shared" si="5"/>
        <v>12.5</v>
      </c>
      <c r="E42" s="6">
        <v>12.5</v>
      </c>
      <c r="F42" s="6" t="s">
        <v>16</v>
      </c>
      <c r="G42" s="6">
        <v>1</v>
      </c>
      <c r="H42" s="6">
        <v>1</v>
      </c>
      <c r="I42" s="6"/>
      <c r="J42" s="6">
        <v>1</v>
      </c>
      <c r="K42" s="6"/>
      <c r="L42" s="6">
        <v>1</v>
      </c>
      <c r="M42" s="6"/>
      <c r="N42" s="6">
        <v>1</v>
      </c>
      <c r="O42" s="6">
        <v>1</v>
      </c>
      <c r="P42" s="6"/>
      <c r="Q42" s="6"/>
      <c r="R42" s="6">
        <v>1</v>
      </c>
      <c r="S42" s="19">
        <f t="shared" si="0"/>
        <v>0.58333333333333337</v>
      </c>
      <c r="T42" s="20">
        <f t="shared" si="1"/>
        <v>0.66666666666666663</v>
      </c>
      <c r="U42" s="1" t="s">
        <v>130</v>
      </c>
      <c r="V42" s="18">
        <f t="shared" si="2"/>
        <v>1</v>
      </c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>
        <v>40</v>
      </c>
      <c r="B43" s="6">
        <v>20</v>
      </c>
      <c r="C43" s="6">
        <v>999</v>
      </c>
      <c r="D43" s="6">
        <f t="shared" si="5"/>
        <v>24.975000000000001</v>
      </c>
      <c r="E43" s="6">
        <v>24.975000000000001</v>
      </c>
      <c r="F43" s="6" t="s">
        <v>16</v>
      </c>
      <c r="G43" s="6">
        <v>1</v>
      </c>
      <c r="H43" s="6">
        <v>1</v>
      </c>
      <c r="I43" s="6"/>
      <c r="J43" s="6">
        <v>1</v>
      </c>
      <c r="K43" s="6"/>
      <c r="L43" s="6">
        <v>1</v>
      </c>
      <c r="M43" s="6"/>
      <c r="N43" s="6">
        <v>1</v>
      </c>
      <c r="O43" s="6">
        <v>1</v>
      </c>
      <c r="P43" s="6"/>
      <c r="Q43" s="6"/>
      <c r="R43" s="6">
        <v>1</v>
      </c>
      <c r="S43" s="19">
        <f t="shared" si="0"/>
        <v>0.58333333333333337</v>
      </c>
      <c r="T43" s="20">
        <f t="shared" si="1"/>
        <v>0.66666666666666663</v>
      </c>
      <c r="U43" s="1" t="s">
        <v>130</v>
      </c>
      <c r="V43" s="18">
        <f t="shared" si="2"/>
        <v>1</v>
      </c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>
        <v>41</v>
      </c>
      <c r="B44" s="6">
        <v>20</v>
      </c>
      <c r="C44" s="6">
        <v>1000</v>
      </c>
      <c r="D44" s="6">
        <f t="shared" si="5"/>
        <v>25</v>
      </c>
      <c r="E44" s="6">
        <v>25</v>
      </c>
      <c r="F44" s="6" t="s">
        <v>16</v>
      </c>
      <c r="G44" s="6">
        <v>1</v>
      </c>
      <c r="H44" s="6">
        <v>1</v>
      </c>
      <c r="I44" s="6"/>
      <c r="J44" s="6">
        <v>1</v>
      </c>
      <c r="K44" s="6"/>
      <c r="L44" s="6">
        <v>1</v>
      </c>
      <c r="M44" s="6"/>
      <c r="N44" s="6">
        <v>1</v>
      </c>
      <c r="O44" s="6">
        <v>1</v>
      </c>
      <c r="P44" s="6"/>
      <c r="Q44" s="6"/>
      <c r="R44" s="6">
        <v>1</v>
      </c>
      <c r="S44" s="19">
        <f t="shared" si="0"/>
        <v>0.58333333333333337</v>
      </c>
      <c r="T44" s="20">
        <f t="shared" si="1"/>
        <v>0.66666666666666663</v>
      </c>
      <c r="U44" s="1" t="s">
        <v>130</v>
      </c>
      <c r="V44" s="18">
        <f t="shared" si="2"/>
        <v>1</v>
      </c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>
        <v>42</v>
      </c>
      <c r="B45" s="6">
        <v>20</v>
      </c>
      <c r="C45" s="6">
        <v>1001</v>
      </c>
      <c r="D45" s="6" t="s">
        <v>17</v>
      </c>
      <c r="E45" s="6" t="s">
        <v>17</v>
      </c>
      <c r="F45" s="6" t="s">
        <v>16</v>
      </c>
      <c r="G45" s="6">
        <v>1</v>
      </c>
      <c r="H45" s="6"/>
      <c r="I45" s="6"/>
      <c r="J45" s="6"/>
      <c r="K45" s="6"/>
      <c r="L45" s="6"/>
      <c r="M45" s="6"/>
      <c r="N45" s="6"/>
      <c r="O45" s="6"/>
      <c r="P45" s="6"/>
      <c r="Q45" s="6">
        <v>1</v>
      </c>
      <c r="R45" s="6">
        <v>1</v>
      </c>
      <c r="S45" s="19">
        <f t="shared" si="0"/>
        <v>0.25</v>
      </c>
      <c r="T45" s="20">
        <f t="shared" si="1"/>
        <v>0.33333333333333331</v>
      </c>
      <c r="U45" s="1" t="s">
        <v>135</v>
      </c>
      <c r="V45" s="18">
        <f t="shared" si="2"/>
        <v>1</v>
      </c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>
        <v>43</v>
      </c>
      <c r="B46" s="6">
        <v>21</v>
      </c>
      <c r="C46" s="13">
        <v>4</v>
      </c>
      <c r="D46" s="6" t="s">
        <v>17</v>
      </c>
      <c r="E46" s="6" t="s">
        <v>17</v>
      </c>
      <c r="F46" s="6" t="s">
        <v>16</v>
      </c>
      <c r="G46" s="6">
        <v>1</v>
      </c>
      <c r="H46" s="6"/>
      <c r="I46" s="6"/>
      <c r="J46" s="6"/>
      <c r="K46" s="6"/>
      <c r="L46" s="6"/>
      <c r="M46" s="6"/>
      <c r="N46" s="6"/>
      <c r="O46" s="6"/>
      <c r="P46" s="6"/>
      <c r="Q46" s="6">
        <v>1</v>
      </c>
      <c r="R46" s="6">
        <v>1</v>
      </c>
      <c r="S46" s="19">
        <f t="shared" si="0"/>
        <v>0.25</v>
      </c>
      <c r="T46" s="20">
        <f t="shared" si="1"/>
        <v>0.33333333333333331</v>
      </c>
      <c r="U46" s="1" t="s">
        <v>128</v>
      </c>
      <c r="V46" s="18">
        <f t="shared" si="2"/>
        <v>1</v>
      </c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>
        <v>44</v>
      </c>
      <c r="B47" s="6">
        <v>21</v>
      </c>
      <c r="C47" s="13">
        <v>5</v>
      </c>
      <c r="D47" s="6" t="s">
        <v>17</v>
      </c>
      <c r="E47" s="6" t="s">
        <v>17</v>
      </c>
      <c r="F47" s="6" t="s">
        <v>16</v>
      </c>
      <c r="G47" s="6">
        <v>1</v>
      </c>
      <c r="H47" s="6">
        <v>1</v>
      </c>
      <c r="I47" s="6"/>
      <c r="J47" s="6">
        <v>1</v>
      </c>
      <c r="K47" s="6"/>
      <c r="L47" s="6">
        <v>1</v>
      </c>
      <c r="M47" s="6"/>
      <c r="N47" s="6">
        <v>1</v>
      </c>
      <c r="O47" s="6"/>
      <c r="P47" s="6">
        <v>1</v>
      </c>
      <c r="Q47" s="6"/>
      <c r="R47" s="6">
        <v>1</v>
      </c>
      <c r="S47" s="19">
        <f t="shared" si="0"/>
        <v>0.58333333333333337</v>
      </c>
      <c r="T47" s="20">
        <f t="shared" si="1"/>
        <v>0.83333333333333337</v>
      </c>
      <c r="U47" s="19" t="s">
        <v>131</v>
      </c>
      <c r="V47" s="18">
        <f t="shared" si="2"/>
        <v>1</v>
      </c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>
        <v>45</v>
      </c>
      <c r="B48" s="6">
        <v>21</v>
      </c>
      <c r="C48" s="13">
        <v>6</v>
      </c>
      <c r="D48" s="6" t="s">
        <v>17</v>
      </c>
      <c r="E48" s="6" t="s">
        <v>17</v>
      </c>
      <c r="F48" s="6" t="s">
        <v>16</v>
      </c>
      <c r="G48" s="6">
        <v>1</v>
      </c>
      <c r="H48" s="6">
        <v>1</v>
      </c>
      <c r="I48" s="6"/>
      <c r="J48" s="6">
        <v>1</v>
      </c>
      <c r="K48" s="6"/>
      <c r="L48" s="6">
        <v>1</v>
      </c>
      <c r="M48" s="6"/>
      <c r="N48" s="6">
        <v>1</v>
      </c>
      <c r="O48" s="6"/>
      <c r="P48" s="6">
        <v>1</v>
      </c>
      <c r="Q48" s="6"/>
      <c r="R48" s="6">
        <v>1</v>
      </c>
      <c r="S48" s="19">
        <f t="shared" si="0"/>
        <v>0.58333333333333337</v>
      </c>
      <c r="T48" s="20">
        <f t="shared" si="1"/>
        <v>0.83333333333333337</v>
      </c>
      <c r="U48" s="19" t="s">
        <v>131</v>
      </c>
      <c r="V48" s="18">
        <f t="shared" si="2"/>
        <v>1</v>
      </c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>
        <v>46</v>
      </c>
      <c r="B49" s="6">
        <v>21</v>
      </c>
      <c r="C49" s="13">
        <v>500</v>
      </c>
      <c r="D49" s="6" t="s">
        <v>17</v>
      </c>
      <c r="E49" s="6" t="s">
        <v>17</v>
      </c>
      <c r="F49" s="6" t="s">
        <v>16</v>
      </c>
      <c r="G49" s="6">
        <v>1</v>
      </c>
      <c r="H49" s="6">
        <v>1</v>
      </c>
      <c r="I49" s="6"/>
      <c r="J49" s="6">
        <v>1</v>
      </c>
      <c r="K49" s="6"/>
      <c r="L49" s="6">
        <v>1</v>
      </c>
      <c r="M49" s="6"/>
      <c r="N49" s="6">
        <v>1</v>
      </c>
      <c r="O49" s="6"/>
      <c r="P49" s="6">
        <v>1</v>
      </c>
      <c r="Q49" s="6"/>
      <c r="R49" s="6">
        <v>1</v>
      </c>
      <c r="S49" s="19">
        <f t="shared" si="0"/>
        <v>0.58333333333333337</v>
      </c>
      <c r="T49" s="20">
        <f t="shared" si="1"/>
        <v>0.83333333333333337</v>
      </c>
      <c r="U49" s="19" t="s">
        <v>131</v>
      </c>
      <c r="V49" s="18">
        <f t="shared" si="2"/>
        <v>1</v>
      </c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>
        <v>47</v>
      </c>
      <c r="B50" s="6">
        <v>21</v>
      </c>
      <c r="C50" s="6">
        <v>999</v>
      </c>
      <c r="D50" s="6" t="s">
        <v>17</v>
      </c>
      <c r="E50" s="6" t="s">
        <v>17</v>
      </c>
      <c r="F50" s="6" t="s">
        <v>16</v>
      </c>
      <c r="G50" s="6">
        <v>1</v>
      </c>
      <c r="H50" s="6">
        <v>1</v>
      </c>
      <c r="I50" s="6"/>
      <c r="J50" s="6">
        <v>1</v>
      </c>
      <c r="K50" s="6"/>
      <c r="L50" s="6">
        <v>1</v>
      </c>
      <c r="M50" s="6"/>
      <c r="N50" s="6">
        <v>1</v>
      </c>
      <c r="O50" s="6"/>
      <c r="P50" s="6">
        <v>1</v>
      </c>
      <c r="Q50" s="6"/>
      <c r="R50" s="6">
        <v>1</v>
      </c>
      <c r="S50" s="19">
        <f t="shared" si="0"/>
        <v>0.58333333333333337</v>
      </c>
      <c r="T50" s="20">
        <f t="shared" si="1"/>
        <v>0.83333333333333337</v>
      </c>
      <c r="U50" s="19" t="s">
        <v>131</v>
      </c>
      <c r="V50" s="18">
        <f t="shared" si="2"/>
        <v>1</v>
      </c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>
        <v>48</v>
      </c>
      <c r="B51" s="6">
        <v>21</v>
      </c>
      <c r="C51" s="6">
        <v>1000</v>
      </c>
      <c r="D51" s="6" t="s">
        <v>17</v>
      </c>
      <c r="E51" s="6" t="s">
        <v>17</v>
      </c>
      <c r="F51" s="6" t="s">
        <v>16</v>
      </c>
      <c r="G51" s="13">
        <v>1</v>
      </c>
      <c r="H51" s="13">
        <v>1</v>
      </c>
      <c r="I51" s="13"/>
      <c r="J51" s="13">
        <v>1</v>
      </c>
      <c r="K51" s="13"/>
      <c r="L51" s="13">
        <v>1</v>
      </c>
      <c r="M51" s="13"/>
      <c r="N51" s="13">
        <v>1</v>
      </c>
      <c r="O51" s="13"/>
      <c r="P51" s="13">
        <v>1</v>
      </c>
      <c r="Q51" s="13"/>
      <c r="R51" s="13">
        <v>1</v>
      </c>
      <c r="S51" s="19">
        <f t="shared" si="0"/>
        <v>0.58333333333333337</v>
      </c>
      <c r="T51" s="20">
        <f t="shared" si="1"/>
        <v>0.83333333333333337</v>
      </c>
      <c r="U51" s="19" t="s">
        <v>132</v>
      </c>
      <c r="V51" s="18">
        <f t="shared" si="2"/>
        <v>1</v>
      </c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>
        <v>49</v>
      </c>
      <c r="B52" s="6">
        <v>21</v>
      </c>
      <c r="C52" s="6">
        <v>1001</v>
      </c>
      <c r="D52" s="6" t="s">
        <v>17</v>
      </c>
      <c r="E52" s="6" t="s">
        <v>17</v>
      </c>
      <c r="F52" s="6" t="s">
        <v>16</v>
      </c>
      <c r="G52" s="13">
        <v>1</v>
      </c>
      <c r="H52" s="13"/>
      <c r="I52" s="13"/>
      <c r="J52" s="13"/>
      <c r="K52" s="13"/>
      <c r="L52" s="13"/>
      <c r="M52" s="13"/>
      <c r="N52" s="13"/>
      <c r="O52" s="13"/>
      <c r="P52" s="13"/>
      <c r="Q52" s="13">
        <v>1</v>
      </c>
      <c r="R52" s="13">
        <v>1</v>
      </c>
      <c r="S52" s="19">
        <f t="shared" si="0"/>
        <v>0.25</v>
      </c>
      <c r="T52" s="20">
        <f t="shared" si="1"/>
        <v>0.33333333333333331</v>
      </c>
      <c r="U52" s="1" t="s">
        <v>128</v>
      </c>
      <c r="V52" s="18">
        <f t="shared" si="2"/>
        <v>1</v>
      </c>
    </row>
    <row r="53" spans="1:32" x14ac:dyDescent="0.25">
      <c r="A53" s="14">
        <v>9999</v>
      </c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  <c r="F54" t="s">
        <v>110</v>
      </c>
      <c r="G54">
        <f>SUM(G4:G52)</f>
        <v>49</v>
      </c>
      <c r="H54">
        <f t="shared" ref="H54:R54" si="6">SUM(H4:H52)</f>
        <v>35</v>
      </c>
      <c r="I54">
        <f t="shared" si="6"/>
        <v>11</v>
      </c>
      <c r="J54">
        <f t="shared" si="6"/>
        <v>24</v>
      </c>
      <c r="K54">
        <f t="shared" si="6"/>
        <v>2</v>
      </c>
      <c r="L54">
        <f t="shared" si="6"/>
        <v>22</v>
      </c>
      <c r="M54">
        <f t="shared" si="6"/>
        <v>2</v>
      </c>
      <c r="N54">
        <f t="shared" si="6"/>
        <v>20</v>
      </c>
      <c r="O54">
        <f t="shared" si="6"/>
        <v>10</v>
      </c>
      <c r="P54">
        <f t="shared" si="6"/>
        <v>10</v>
      </c>
      <c r="Q54">
        <f t="shared" si="6"/>
        <v>14</v>
      </c>
      <c r="R54">
        <f t="shared" si="6"/>
        <v>49</v>
      </c>
      <c r="S54" s="18">
        <f>COUNTIF(G54:R54,"&gt;0")/12</f>
        <v>1</v>
      </c>
      <c r="T54" s="20">
        <f>SUM(COUNTIF(J54,"&gt;0"),COUNTIF(L54,"&gt;0"),COUNTIF(N54,"&gt;0"),COUNTIF(P54,"&gt;0"),COUNTIF(Q54,"&gt;0"),COUNTIF(R54,"&gt;0"))/6</f>
        <v>1</v>
      </c>
      <c r="U54" s="30">
        <f>SUM(U4:U52)</f>
        <v>0.89999999999999991</v>
      </c>
      <c r="V54" s="18">
        <f>COUNTIF(R54,"&gt;0")/1</f>
        <v>1</v>
      </c>
    </row>
    <row r="55" spans="1:32" x14ac:dyDescent="0.25">
      <c r="A55" s="33" t="s">
        <v>133</v>
      </c>
      <c r="B55" s="33"/>
      <c r="C55" s="33"/>
      <c r="D55" s="33"/>
      <c r="E55" s="33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32" x14ac:dyDescent="0.25">
      <c r="A56" s="1" t="s">
        <v>122</v>
      </c>
      <c r="B56" s="1" t="s">
        <v>123</v>
      </c>
      <c r="C56" s="1" t="s">
        <v>124</v>
      </c>
      <c r="D56" s="1" t="s">
        <v>125</v>
      </c>
      <c r="E56" s="15" t="s">
        <v>126</v>
      </c>
      <c r="F56" s="1"/>
      <c r="G56" s="15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32" x14ac:dyDescent="0.25">
      <c r="A57" s="1" t="s">
        <v>115</v>
      </c>
      <c r="B57" s="1" t="s">
        <v>116</v>
      </c>
      <c r="C57" s="1" t="s">
        <v>117</v>
      </c>
      <c r="D57" s="1" t="s">
        <v>118</v>
      </c>
      <c r="E57" s="15" t="s">
        <v>119</v>
      </c>
      <c r="F57" s="1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</row>
    <row r="58" spans="1:32" x14ac:dyDescent="0.25">
      <c r="A58" s="25" t="s">
        <v>120</v>
      </c>
      <c r="B58" s="25" t="s">
        <v>121</v>
      </c>
      <c r="C58" s="25" t="s">
        <v>121</v>
      </c>
      <c r="D58" s="25" t="s">
        <v>121</v>
      </c>
      <c r="E58" s="25" t="s">
        <v>120</v>
      </c>
      <c r="F58" s="1"/>
      <c r="G58" s="15"/>
      <c r="H58" s="15"/>
      <c r="I58" s="15"/>
      <c r="J58" s="15"/>
      <c r="K58" s="17"/>
      <c r="L58" s="15"/>
      <c r="M58" s="17"/>
      <c r="N58" s="15"/>
      <c r="O58" s="17"/>
      <c r="P58" s="15"/>
      <c r="Q58" s="15"/>
      <c r="R58" s="15"/>
    </row>
    <row r="59" spans="1:32" x14ac:dyDescent="0.25">
      <c r="A59" s="25" t="s">
        <v>120</v>
      </c>
      <c r="B59" s="25" t="s">
        <v>121</v>
      </c>
      <c r="C59" s="25" t="s">
        <v>121</v>
      </c>
      <c r="D59" s="25" t="s">
        <v>121</v>
      </c>
      <c r="E59" s="25" t="s">
        <v>121</v>
      </c>
      <c r="F59" s="1"/>
      <c r="G59" s="15"/>
      <c r="H59" s="15"/>
      <c r="I59" s="15"/>
      <c r="J59" s="15"/>
      <c r="K59" s="17"/>
      <c r="L59" s="15"/>
      <c r="M59" s="17"/>
      <c r="N59" s="15"/>
      <c r="O59" s="17"/>
      <c r="P59" s="15"/>
      <c r="Q59" s="15"/>
      <c r="R59" s="15"/>
    </row>
    <row r="60" spans="1:32" x14ac:dyDescent="0.25">
      <c r="A60" s="25" t="s">
        <v>121</v>
      </c>
      <c r="B60" s="25" t="s">
        <v>120</v>
      </c>
      <c r="C60" s="25" t="s">
        <v>121</v>
      </c>
      <c r="D60" s="25" t="s">
        <v>121</v>
      </c>
      <c r="E60" s="25" t="s">
        <v>120</v>
      </c>
      <c r="F60" s="1"/>
      <c r="G60" s="15"/>
      <c r="H60" s="15"/>
      <c r="I60" s="15"/>
      <c r="J60" s="15"/>
      <c r="K60" s="17"/>
      <c r="L60" s="15"/>
      <c r="M60" s="17"/>
      <c r="N60" s="15"/>
      <c r="O60" s="17"/>
      <c r="P60" s="15"/>
      <c r="Q60" s="15"/>
      <c r="R60" s="15"/>
    </row>
    <row r="61" spans="1:32" x14ac:dyDescent="0.25">
      <c r="A61" s="21" t="s">
        <v>121</v>
      </c>
      <c r="B61" s="21" t="s">
        <v>120</v>
      </c>
      <c r="C61" s="21" t="s">
        <v>121</v>
      </c>
      <c r="D61" s="21" t="s">
        <v>121</v>
      </c>
      <c r="E61" s="21" t="s">
        <v>121</v>
      </c>
      <c r="F61" s="1"/>
      <c r="G61" s="15"/>
      <c r="H61" s="15"/>
      <c r="I61" s="15"/>
      <c r="J61" s="15"/>
      <c r="K61" s="17"/>
      <c r="L61" s="15"/>
      <c r="M61" s="17"/>
      <c r="N61" s="15"/>
      <c r="O61" s="17"/>
      <c r="P61" s="15"/>
      <c r="Q61" s="15"/>
      <c r="R61" s="15"/>
    </row>
    <row r="62" spans="1:32" x14ac:dyDescent="0.25">
      <c r="A62" s="25" t="s">
        <v>121</v>
      </c>
      <c r="B62" s="25" t="s">
        <v>121</v>
      </c>
      <c r="C62" s="25" t="s">
        <v>120</v>
      </c>
      <c r="D62" s="25" t="s">
        <v>121</v>
      </c>
      <c r="E62" s="25" t="s">
        <v>120</v>
      </c>
      <c r="F62" s="1"/>
      <c r="G62" s="15"/>
      <c r="H62" s="15"/>
      <c r="I62" s="15"/>
      <c r="J62" s="15"/>
      <c r="K62" s="17"/>
      <c r="L62" s="15"/>
      <c r="M62" s="17"/>
      <c r="N62" s="15"/>
      <c r="O62" s="17"/>
      <c r="P62" s="15"/>
      <c r="Q62" s="15"/>
      <c r="R62" s="15"/>
    </row>
    <row r="63" spans="1:32" x14ac:dyDescent="0.25">
      <c r="A63" s="25" t="s">
        <v>121</v>
      </c>
      <c r="B63" s="25" t="s">
        <v>121</v>
      </c>
      <c r="C63" s="25" t="s">
        <v>120</v>
      </c>
      <c r="D63" s="25" t="s">
        <v>121</v>
      </c>
      <c r="E63" s="25" t="s">
        <v>121</v>
      </c>
      <c r="F63" s="1"/>
      <c r="G63" s="15"/>
      <c r="H63" s="15"/>
      <c r="I63" s="15"/>
      <c r="J63" s="15"/>
      <c r="K63" s="17"/>
      <c r="L63" s="15"/>
      <c r="M63" s="17"/>
      <c r="N63" s="15"/>
      <c r="O63" s="17"/>
      <c r="P63" s="15"/>
      <c r="Q63" s="15"/>
      <c r="R63" s="15"/>
    </row>
    <row r="64" spans="1:32" x14ac:dyDescent="0.25">
      <c r="A64" s="25" t="s">
        <v>121</v>
      </c>
      <c r="B64" s="25" t="s">
        <v>121</v>
      </c>
      <c r="C64" s="25" t="s">
        <v>121</v>
      </c>
      <c r="D64" s="25" t="s">
        <v>120</v>
      </c>
      <c r="E64" s="25" t="s">
        <v>120</v>
      </c>
      <c r="F64" s="1"/>
      <c r="G64" s="15"/>
      <c r="H64" s="15"/>
      <c r="I64" s="15"/>
      <c r="J64" s="15"/>
      <c r="K64" s="17"/>
      <c r="L64" s="15"/>
      <c r="M64" s="17"/>
      <c r="N64" s="15"/>
      <c r="O64" s="17"/>
      <c r="P64" s="15"/>
      <c r="Q64" s="15"/>
      <c r="R64" s="15"/>
    </row>
    <row r="65" spans="1:18" x14ac:dyDescent="0.25">
      <c r="A65" s="25" t="s">
        <v>121</v>
      </c>
      <c r="B65" s="25" t="s">
        <v>121</v>
      </c>
      <c r="C65" s="25" t="s">
        <v>121</v>
      </c>
      <c r="D65" s="25" t="s">
        <v>120</v>
      </c>
      <c r="E65" s="25" t="s">
        <v>121</v>
      </c>
      <c r="F65" s="1"/>
      <c r="G65" s="15"/>
      <c r="H65" s="15"/>
      <c r="I65" s="15"/>
      <c r="J65" s="15"/>
      <c r="K65" s="17"/>
      <c r="L65" s="15"/>
      <c r="M65" s="17"/>
      <c r="N65" s="15"/>
      <c r="O65" s="17"/>
      <c r="P65" s="15"/>
      <c r="Q65" s="15"/>
      <c r="R65" s="15"/>
    </row>
    <row r="66" spans="1:18" x14ac:dyDescent="0.25">
      <c r="A66" s="25" t="s">
        <v>121</v>
      </c>
      <c r="B66" s="25" t="s">
        <v>121</v>
      </c>
      <c r="C66" s="25" t="s">
        <v>121</v>
      </c>
      <c r="D66" s="25" t="s">
        <v>121</v>
      </c>
      <c r="E66" s="25" t="s">
        <v>120</v>
      </c>
      <c r="F66" s="1"/>
      <c r="G66" s="15"/>
      <c r="H66" s="15"/>
      <c r="I66" s="15"/>
      <c r="J66" s="15"/>
      <c r="K66" s="17"/>
      <c r="L66" s="15"/>
      <c r="M66" s="17"/>
      <c r="N66" s="15"/>
      <c r="O66" s="17"/>
      <c r="P66" s="15"/>
      <c r="Q66" s="15"/>
      <c r="R66" s="15"/>
    </row>
    <row r="67" spans="1:18" x14ac:dyDescent="0.25">
      <c r="A67" s="25" t="s">
        <v>121</v>
      </c>
      <c r="B67" s="25" t="s">
        <v>121</v>
      </c>
      <c r="C67" s="25" t="s">
        <v>121</v>
      </c>
      <c r="D67" s="25" t="s">
        <v>121</v>
      </c>
      <c r="E67" s="25" t="s">
        <v>121</v>
      </c>
      <c r="F67" s="1"/>
      <c r="G67" s="15"/>
      <c r="H67" s="15"/>
      <c r="I67" s="15"/>
      <c r="J67" s="15"/>
      <c r="K67" s="17"/>
      <c r="L67" s="15"/>
      <c r="M67" s="17"/>
      <c r="N67" s="15"/>
      <c r="O67" s="17"/>
      <c r="P67" s="15"/>
      <c r="Q67" s="15"/>
      <c r="R67" s="15"/>
    </row>
    <row r="68" spans="1:18" x14ac:dyDescent="0.25">
      <c r="A68" s="1"/>
      <c r="B68" s="1"/>
      <c r="C68" s="1"/>
      <c r="D68" s="2"/>
      <c r="E68" s="2"/>
      <c r="F68" s="1"/>
      <c r="G68" s="15"/>
      <c r="H68" s="15"/>
      <c r="I68" s="15"/>
      <c r="J68" s="15"/>
      <c r="K68" s="17"/>
      <c r="L68" s="15"/>
      <c r="M68" s="17"/>
      <c r="N68" s="15"/>
      <c r="O68" s="17"/>
      <c r="P68" s="15"/>
      <c r="Q68" s="15"/>
      <c r="R68" s="15"/>
    </row>
    <row r="69" spans="1:18" x14ac:dyDescent="0.25">
      <c r="A69" s="1"/>
      <c r="B69" s="1"/>
      <c r="C69" s="1"/>
      <c r="D69" s="1"/>
      <c r="E69" s="1"/>
      <c r="F69" s="1"/>
      <c r="G69" s="15"/>
      <c r="H69" s="15"/>
      <c r="I69" s="15"/>
      <c r="J69" s="15"/>
      <c r="K69" s="17"/>
      <c r="L69" s="15"/>
      <c r="M69" s="17"/>
      <c r="N69" s="15"/>
      <c r="O69" s="17"/>
      <c r="P69" s="15"/>
      <c r="Q69" s="15"/>
      <c r="R69" s="15"/>
    </row>
    <row r="70" spans="1:18" x14ac:dyDescent="0.25">
      <c r="A70" s="1"/>
      <c r="B70" s="1"/>
      <c r="C70" s="1"/>
      <c r="D70" s="2"/>
      <c r="E70" s="2"/>
      <c r="F70" s="1"/>
      <c r="G70" s="15"/>
      <c r="H70" s="15"/>
      <c r="I70" s="15"/>
      <c r="J70" s="15"/>
      <c r="K70" s="17"/>
      <c r="L70" s="15"/>
      <c r="M70" s="17"/>
      <c r="N70" s="15"/>
      <c r="O70" s="17"/>
      <c r="P70" s="15"/>
      <c r="Q70" s="15"/>
      <c r="R70" s="15"/>
    </row>
    <row r="71" spans="1:18" x14ac:dyDescent="0.25">
      <c r="A71" s="1"/>
      <c r="B71" s="1"/>
      <c r="C71" s="1"/>
      <c r="D71" s="5"/>
      <c r="E71" s="2"/>
      <c r="F71" s="1"/>
      <c r="G71" s="15"/>
      <c r="H71" s="15"/>
      <c r="I71" s="15"/>
      <c r="J71" s="15"/>
      <c r="K71" s="17"/>
      <c r="L71" s="15"/>
      <c r="M71" s="17"/>
      <c r="N71" s="15"/>
      <c r="O71" s="17"/>
      <c r="P71" s="15"/>
      <c r="Q71" s="15"/>
      <c r="R71" s="15"/>
    </row>
    <row r="72" spans="1:18" x14ac:dyDescent="0.25">
      <c r="A72" s="1"/>
      <c r="B72" s="1"/>
      <c r="C72" s="1"/>
      <c r="D72" s="2"/>
      <c r="E72" s="2"/>
      <c r="F72" s="1"/>
      <c r="G72" s="15"/>
      <c r="H72" s="15"/>
      <c r="I72" s="15"/>
      <c r="J72" s="15"/>
      <c r="K72" s="17"/>
      <c r="L72" s="15"/>
      <c r="M72" s="17"/>
      <c r="N72" s="15"/>
      <c r="O72" s="17"/>
      <c r="P72" s="15"/>
      <c r="Q72" s="15"/>
      <c r="R72" s="15"/>
    </row>
    <row r="73" spans="1:18" x14ac:dyDescent="0.25">
      <c r="A73" s="1"/>
      <c r="B73" s="1"/>
      <c r="C73" s="1"/>
      <c r="D73" s="2"/>
      <c r="E73" s="2"/>
      <c r="F73" s="1"/>
      <c r="G73" s="15"/>
      <c r="H73" s="15"/>
      <c r="I73" s="15"/>
      <c r="J73" s="15"/>
      <c r="K73" s="17"/>
      <c r="L73" s="15"/>
      <c r="M73" s="17"/>
      <c r="N73" s="15"/>
      <c r="O73" s="17"/>
      <c r="P73" s="15"/>
      <c r="Q73" s="15"/>
      <c r="R73" s="15"/>
    </row>
    <row r="74" spans="1:18" x14ac:dyDescent="0.25">
      <c r="A74" s="1"/>
      <c r="B74" s="1"/>
      <c r="C74" s="1"/>
      <c r="D74" s="1"/>
      <c r="E74" s="1"/>
      <c r="F74" s="1"/>
      <c r="G74" s="15"/>
      <c r="H74" s="15"/>
      <c r="I74" s="15"/>
      <c r="J74" s="15"/>
      <c r="K74" s="17"/>
      <c r="L74" s="15"/>
      <c r="M74" s="17"/>
      <c r="N74" s="15"/>
      <c r="O74" s="17"/>
      <c r="P74" s="15"/>
      <c r="Q74" s="15"/>
      <c r="R74" s="15"/>
    </row>
    <row r="75" spans="1:18" x14ac:dyDescent="0.25">
      <c r="A75" s="1"/>
      <c r="B75" s="1"/>
      <c r="C75" s="1"/>
      <c r="D75" s="1"/>
      <c r="E75" s="1"/>
      <c r="F75" s="1"/>
      <c r="G75" s="15"/>
      <c r="H75" s="15"/>
      <c r="I75" s="15"/>
      <c r="J75" s="15"/>
      <c r="K75" s="17"/>
      <c r="L75" s="15"/>
      <c r="M75" s="17"/>
      <c r="N75" s="15"/>
      <c r="O75" s="17"/>
      <c r="P75" s="15"/>
      <c r="Q75" s="15"/>
      <c r="R75" s="15"/>
    </row>
    <row r="76" spans="1:18" x14ac:dyDescent="0.25">
      <c r="A76" s="1"/>
      <c r="B76" s="1"/>
      <c r="C76" s="1"/>
      <c r="D76" s="5"/>
      <c r="E76" s="2"/>
      <c r="F76" s="1"/>
      <c r="G76" s="15"/>
      <c r="H76" s="15"/>
      <c r="I76" s="15"/>
      <c r="J76" s="15"/>
      <c r="K76" s="17"/>
      <c r="L76" s="15"/>
      <c r="M76" s="17"/>
      <c r="N76" s="15"/>
      <c r="O76" s="17"/>
      <c r="P76" s="15"/>
      <c r="Q76" s="15"/>
      <c r="R76" s="15"/>
    </row>
    <row r="77" spans="1:18" x14ac:dyDescent="0.25">
      <c r="A77" s="1"/>
      <c r="B77" s="1"/>
      <c r="C77" s="1"/>
      <c r="D77" s="1"/>
      <c r="E77" s="1"/>
      <c r="F77" s="1"/>
      <c r="G77" s="15"/>
      <c r="H77" s="15"/>
      <c r="I77" s="15"/>
      <c r="J77" s="15"/>
      <c r="K77" s="17"/>
      <c r="L77" s="15"/>
      <c r="M77" s="17"/>
      <c r="N77" s="15"/>
      <c r="O77" s="17"/>
      <c r="P77" s="15"/>
      <c r="Q77" s="15"/>
      <c r="R77" s="15"/>
    </row>
    <row r="78" spans="1:18" x14ac:dyDescent="0.25">
      <c r="F78" s="1"/>
      <c r="G78" s="15"/>
      <c r="H78" s="15"/>
      <c r="I78" s="15"/>
      <c r="J78" s="15"/>
      <c r="K78" s="17"/>
      <c r="L78" s="15"/>
      <c r="M78" s="17"/>
      <c r="N78" s="15"/>
      <c r="O78" s="17"/>
      <c r="P78" s="15"/>
      <c r="Q78" s="15"/>
      <c r="R78" s="15"/>
    </row>
    <row r="79" spans="1:18" x14ac:dyDescent="0.25">
      <c r="F79" s="1"/>
      <c r="G79" s="15"/>
      <c r="H79" s="15"/>
      <c r="I79" s="15"/>
      <c r="J79" s="15"/>
      <c r="K79" s="17"/>
      <c r="L79" s="15"/>
      <c r="M79" s="17"/>
      <c r="N79" s="15"/>
      <c r="O79" s="17"/>
      <c r="P79" s="15"/>
      <c r="Q79" s="15"/>
      <c r="R79" s="15"/>
    </row>
    <row r="80" spans="1:18" x14ac:dyDescent="0.25">
      <c r="F80" s="1"/>
      <c r="G80" s="15"/>
      <c r="H80" s="15"/>
      <c r="I80" s="15"/>
      <c r="J80" s="15"/>
      <c r="K80" s="15"/>
      <c r="L80" s="15"/>
      <c r="M80" s="17"/>
      <c r="N80" s="15"/>
      <c r="O80" s="17"/>
      <c r="P80" s="15"/>
      <c r="Q80" s="15"/>
      <c r="R80" s="15"/>
    </row>
    <row r="81" spans="6:18" x14ac:dyDescent="0.25">
      <c r="F81" s="1"/>
      <c r="G81" s="15"/>
      <c r="H81" s="15"/>
      <c r="I81" s="15"/>
      <c r="J81" s="15"/>
      <c r="K81" s="15"/>
      <c r="L81" s="15"/>
      <c r="M81" s="17"/>
      <c r="N81" s="15"/>
      <c r="O81" s="17"/>
      <c r="P81" s="15"/>
      <c r="Q81" s="15"/>
      <c r="R81" s="15"/>
    </row>
    <row r="82" spans="6:18" x14ac:dyDescent="0.25">
      <c r="F82" s="1"/>
      <c r="G82" s="15"/>
      <c r="H82" s="15"/>
      <c r="I82" s="15"/>
      <c r="J82" s="15"/>
      <c r="K82" s="15"/>
      <c r="L82" s="15"/>
      <c r="M82" s="15"/>
      <c r="N82" s="15"/>
      <c r="O82" s="17"/>
      <c r="P82" s="15"/>
      <c r="Q82" s="15"/>
      <c r="R82" s="15"/>
    </row>
    <row r="83" spans="6:18" x14ac:dyDescent="0.25">
      <c r="F83" s="1"/>
      <c r="G83" s="15"/>
      <c r="H83" s="15"/>
      <c r="I83" s="15"/>
      <c r="J83" s="15"/>
      <c r="K83" s="15"/>
      <c r="L83" s="15"/>
      <c r="M83" s="15"/>
      <c r="N83" s="15"/>
      <c r="O83" s="17"/>
      <c r="P83" s="15"/>
      <c r="Q83" s="15"/>
      <c r="R83" s="15"/>
    </row>
    <row r="84" spans="6:18" x14ac:dyDescent="0.25">
      <c r="F84" s="1"/>
      <c r="G84" s="15"/>
      <c r="H84" s="15"/>
      <c r="I84" s="15"/>
      <c r="J84" s="15"/>
      <c r="K84" s="15"/>
      <c r="L84" s="15"/>
      <c r="M84" s="15"/>
      <c r="N84" s="15"/>
      <c r="O84" s="17"/>
      <c r="P84" s="15"/>
      <c r="Q84" s="15"/>
      <c r="R84" s="15"/>
    </row>
    <row r="85" spans="6:18" x14ac:dyDescent="0.25">
      <c r="F85" s="1"/>
      <c r="G85" s="15"/>
      <c r="H85" s="15"/>
      <c r="I85" s="15"/>
      <c r="J85" s="15"/>
      <c r="K85" s="15"/>
      <c r="L85" s="15"/>
      <c r="M85" s="15"/>
      <c r="N85" s="15"/>
      <c r="O85" s="17"/>
      <c r="P85" s="15"/>
      <c r="Q85" s="15"/>
      <c r="R85" s="15"/>
    </row>
    <row r="86" spans="6:18" x14ac:dyDescent="0.25">
      <c r="F86" s="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</row>
    <row r="87" spans="6:18" x14ac:dyDescent="0.25">
      <c r="F87" s="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</row>
    <row r="88" spans="6:18" x14ac:dyDescent="0.25">
      <c r="F88" s="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</row>
    <row r="89" spans="6:18" x14ac:dyDescent="0.25">
      <c r="F89" s="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</row>
    <row r="90" spans="6:18" x14ac:dyDescent="0.25">
      <c r="F90" s="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</row>
    <row r="91" spans="6:18" x14ac:dyDescent="0.25">
      <c r="F91" s="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</row>
    <row r="92" spans="6:18" x14ac:dyDescent="0.25">
      <c r="F92" s="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</row>
    <row r="93" spans="6:18" x14ac:dyDescent="0.25">
      <c r="F93" s="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</row>
    <row r="94" spans="6:18" x14ac:dyDescent="0.25">
      <c r="F94" s="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</row>
    <row r="95" spans="6:18" x14ac:dyDescent="0.25">
      <c r="F95" s="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</row>
    <row r="96" spans="6:18" x14ac:dyDescent="0.25">
      <c r="F96" s="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</row>
    <row r="97" spans="1:18" x14ac:dyDescent="0.25">
      <c r="F97" s="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</row>
    <row r="98" spans="1:18" x14ac:dyDescent="0.25">
      <c r="F98" s="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</row>
    <row r="99" spans="1:18" x14ac:dyDescent="0.25">
      <c r="F99" s="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</row>
    <row r="100" spans="1:18" x14ac:dyDescent="0.25">
      <c r="F100" s="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</row>
    <row r="101" spans="1:18" x14ac:dyDescent="0.25">
      <c r="F101" s="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</row>
    <row r="102" spans="1:18" x14ac:dyDescent="0.25">
      <c r="F102" s="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</row>
    <row r="103" spans="1:18" x14ac:dyDescent="0.25">
      <c r="F103" s="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</row>
    <row r="104" spans="1:18" x14ac:dyDescent="0.25">
      <c r="F104" s="1"/>
      <c r="G104" s="17"/>
      <c r="H104" s="17"/>
      <c r="I104" s="15"/>
      <c r="J104" s="17"/>
      <c r="K104" s="15"/>
      <c r="L104" s="17"/>
      <c r="M104" s="15"/>
      <c r="N104" s="17"/>
      <c r="O104" s="15"/>
      <c r="P104" s="17"/>
      <c r="Q104" s="17"/>
      <c r="R104" s="17"/>
    </row>
    <row r="105" spans="1:18" x14ac:dyDescent="0.25">
      <c r="F105" s="1"/>
      <c r="G105" s="17"/>
      <c r="H105" s="17"/>
      <c r="I105" s="15"/>
      <c r="J105" s="17"/>
      <c r="K105" s="15"/>
      <c r="L105" s="17"/>
      <c r="M105" s="15"/>
      <c r="N105" s="17"/>
      <c r="O105" s="15"/>
      <c r="P105" s="17"/>
      <c r="Q105" s="17"/>
      <c r="R105" s="17"/>
    </row>
    <row r="108" spans="1:18" x14ac:dyDescent="0.25">
      <c r="A108" s="1"/>
      <c r="B108" s="1"/>
      <c r="C108" s="1"/>
      <c r="D108" s="1"/>
      <c r="E108" s="1"/>
    </row>
    <row r="109" spans="1:18" x14ac:dyDescent="0.25">
      <c r="A109" s="17"/>
      <c r="B109" s="17"/>
      <c r="C109" s="17"/>
      <c r="D109" s="17"/>
      <c r="E109" s="17"/>
    </row>
    <row r="110" spans="1:18" x14ac:dyDescent="0.25">
      <c r="A110" s="15"/>
      <c r="B110" s="15"/>
      <c r="C110" s="17"/>
      <c r="D110" s="17"/>
      <c r="E110" s="17"/>
    </row>
    <row r="111" spans="1:18" x14ac:dyDescent="0.25">
      <c r="A111" s="15"/>
      <c r="B111" s="15"/>
      <c r="C111" s="17"/>
      <c r="D111" s="17"/>
      <c r="E111" s="17"/>
    </row>
    <row r="112" spans="1:18" x14ac:dyDescent="0.25">
      <c r="A112" s="15"/>
      <c r="B112" s="15"/>
      <c r="C112" s="17"/>
      <c r="D112" s="17"/>
      <c r="E112" s="17"/>
    </row>
    <row r="113" spans="1:5" x14ac:dyDescent="0.25">
      <c r="A113" s="15"/>
      <c r="B113" s="15"/>
      <c r="C113" s="17"/>
      <c r="D113" s="17"/>
      <c r="E113" s="17"/>
    </row>
    <row r="114" spans="1:5" x14ac:dyDescent="0.25">
      <c r="A114" s="15"/>
      <c r="B114" s="15"/>
      <c r="C114" s="17"/>
      <c r="D114" s="17"/>
      <c r="E114" s="17"/>
    </row>
    <row r="115" spans="1:5" x14ac:dyDescent="0.25">
      <c r="A115" s="15"/>
      <c r="B115" s="15"/>
      <c r="C115" s="17"/>
      <c r="D115" s="17"/>
      <c r="E115" s="17"/>
    </row>
    <row r="116" spans="1:5" x14ac:dyDescent="0.25">
      <c r="A116" s="15"/>
      <c r="B116" s="15"/>
      <c r="C116" s="17"/>
      <c r="D116" s="17"/>
      <c r="E116" s="17"/>
    </row>
    <row r="117" spans="1:5" x14ac:dyDescent="0.25">
      <c r="A117" s="15"/>
      <c r="B117" s="15"/>
      <c r="C117" s="17"/>
      <c r="D117" s="17"/>
      <c r="E117" s="17"/>
    </row>
    <row r="118" spans="1:5" x14ac:dyDescent="0.25">
      <c r="A118" s="15"/>
      <c r="B118" s="15"/>
      <c r="C118" s="17"/>
      <c r="D118" s="17"/>
      <c r="E118" s="17"/>
    </row>
    <row r="119" spans="1:5" x14ac:dyDescent="0.25">
      <c r="A119" s="15"/>
      <c r="B119" s="15"/>
      <c r="C119" s="17"/>
      <c r="D119" s="17"/>
      <c r="E119" s="17"/>
    </row>
    <row r="120" spans="1:5" x14ac:dyDescent="0.25">
      <c r="A120" s="15"/>
      <c r="B120" s="15"/>
      <c r="C120" s="17"/>
      <c r="D120" s="17"/>
      <c r="E120" s="17"/>
    </row>
    <row r="121" spans="1:5" x14ac:dyDescent="0.25">
      <c r="A121" s="15"/>
      <c r="B121" s="15"/>
      <c r="C121" s="17"/>
      <c r="D121" s="17"/>
      <c r="E121" s="17"/>
    </row>
    <row r="122" spans="1:5" x14ac:dyDescent="0.25">
      <c r="A122" s="15"/>
      <c r="B122" s="15"/>
      <c r="C122" s="17"/>
      <c r="D122" s="17"/>
      <c r="E122" s="17"/>
    </row>
    <row r="123" spans="1:5" x14ac:dyDescent="0.25">
      <c r="A123" s="15"/>
      <c r="B123" s="15"/>
      <c r="C123" s="17"/>
      <c r="D123" s="17"/>
      <c r="E123" s="17"/>
    </row>
    <row r="124" spans="1:5" x14ac:dyDescent="0.25">
      <c r="A124" s="15"/>
      <c r="B124" s="15"/>
      <c r="C124" s="17"/>
      <c r="D124" s="17"/>
      <c r="E124" s="17"/>
    </row>
    <row r="125" spans="1:5" x14ac:dyDescent="0.25">
      <c r="A125" s="15"/>
      <c r="B125" s="15"/>
      <c r="C125" s="17"/>
      <c r="D125" s="17"/>
      <c r="E125" s="17"/>
    </row>
    <row r="126" spans="1:5" x14ac:dyDescent="0.25">
      <c r="A126" s="15"/>
      <c r="B126" s="15"/>
      <c r="C126" s="17"/>
      <c r="D126" s="17"/>
      <c r="E126" s="17"/>
    </row>
    <row r="127" spans="1:5" x14ac:dyDescent="0.25">
      <c r="A127" s="15"/>
      <c r="B127" s="15"/>
      <c r="C127" s="17"/>
      <c r="D127" s="17"/>
      <c r="E127" s="17"/>
    </row>
    <row r="128" spans="1:5" x14ac:dyDescent="0.25">
      <c r="A128" s="15"/>
      <c r="B128" s="15"/>
      <c r="C128" s="17"/>
      <c r="D128" s="17"/>
      <c r="E128" s="17"/>
    </row>
    <row r="129" spans="1:5" x14ac:dyDescent="0.25">
      <c r="A129" s="15"/>
      <c r="B129" s="15"/>
      <c r="C129" s="17"/>
      <c r="D129" s="17"/>
      <c r="E129" s="17"/>
    </row>
    <row r="130" spans="1:5" x14ac:dyDescent="0.25">
      <c r="A130" s="15"/>
      <c r="B130" s="15"/>
      <c r="C130" s="17"/>
      <c r="D130" s="17"/>
      <c r="E130" s="17"/>
    </row>
    <row r="131" spans="1:5" x14ac:dyDescent="0.25">
      <c r="A131" s="15"/>
      <c r="B131" s="15"/>
      <c r="C131" s="17"/>
      <c r="D131" s="17"/>
      <c r="E131" s="17"/>
    </row>
    <row r="132" spans="1:5" x14ac:dyDescent="0.25">
      <c r="A132" s="15"/>
      <c r="B132" s="15"/>
      <c r="C132" s="15"/>
      <c r="D132" s="17"/>
      <c r="E132" s="17"/>
    </row>
    <row r="133" spans="1:5" x14ac:dyDescent="0.25">
      <c r="A133" s="15"/>
      <c r="B133" s="15"/>
      <c r="C133" s="15"/>
      <c r="D133" s="17"/>
      <c r="E133" s="17"/>
    </row>
    <row r="134" spans="1:5" x14ac:dyDescent="0.25">
      <c r="A134" s="15"/>
      <c r="B134" s="15"/>
      <c r="C134" s="15"/>
      <c r="D134" s="15"/>
      <c r="E134" s="17"/>
    </row>
    <row r="135" spans="1:5" x14ac:dyDescent="0.25">
      <c r="A135" s="15"/>
      <c r="B135" s="15"/>
      <c r="C135" s="15"/>
      <c r="D135" s="15"/>
      <c r="E135" s="17"/>
    </row>
    <row r="136" spans="1:5" x14ac:dyDescent="0.25">
      <c r="A136" s="15"/>
      <c r="B136" s="15"/>
      <c r="C136" s="15"/>
      <c r="D136" s="15"/>
      <c r="E136" s="17"/>
    </row>
    <row r="137" spans="1:5" x14ac:dyDescent="0.25">
      <c r="A137" s="15"/>
      <c r="B137" s="15"/>
      <c r="C137" s="15"/>
      <c r="D137" s="15"/>
      <c r="E137" s="17"/>
    </row>
    <row r="138" spans="1:5" x14ac:dyDescent="0.25">
      <c r="A138" s="15"/>
      <c r="B138" s="15"/>
      <c r="C138" s="15"/>
      <c r="D138" s="15"/>
      <c r="E138" s="15"/>
    </row>
    <row r="139" spans="1:5" x14ac:dyDescent="0.25">
      <c r="A139" s="15"/>
      <c r="B139" s="15"/>
      <c r="C139" s="15"/>
      <c r="D139" s="15"/>
      <c r="E139" s="15"/>
    </row>
    <row r="140" spans="1:5" x14ac:dyDescent="0.25">
      <c r="A140" s="15"/>
      <c r="B140" s="15"/>
      <c r="C140" s="15"/>
      <c r="D140" s="15"/>
      <c r="E140" s="15"/>
    </row>
    <row r="141" spans="1:5" x14ac:dyDescent="0.25">
      <c r="A141" s="15"/>
      <c r="B141" s="15"/>
      <c r="C141" s="15"/>
      <c r="D141" s="15"/>
      <c r="E141" s="15"/>
    </row>
    <row r="142" spans="1:5" x14ac:dyDescent="0.25">
      <c r="A142" s="15"/>
      <c r="B142" s="15"/>
      <c r="C142" s="15"/>
      <c r="D142" s="15"/>
      <c r="E142" s="15"/>
    </row>
    <row r="143" spans="1:5" x14ac:dyDescent="0.25">
      <c r="A143" s="15"/>
      <c r="B143" s="15"/>
      <c r="C143" s="15"/>
      <c r="D143" s="15"/>
      <c r="E143" s="15"/>
    </row>
    <row r="144" spans="1:5" x14ac:dyDescent="0.25">
      <c r="A144" s="15"/>
      <c r="B144" s="15"/>
      <c r="C144" s="15"/>
      <c r="D144" s="15"/>
      <c r="E144" s="15"/>
    </row>
    <row r="145" spans="1:5" x14ac:dyDescent="0.25">
      <c r="A145" s="15"/>
      <c r="B145" s="15"/>
      <c r="C145" s="15"/>
      <c r="D145" s="15"/>
      <c r="E145" s="15"/>
    </row>
    <row r="146" spans="1:5" x14ac:dyDescent="0.25">
      <c r="A146" s="15"/>
      <c r="B146" s="15"/>
      <c r="C146" s="15"/>
      <c r="D146" s="15"/>
      <c r="E146" s="15"/>
    </row>
    <row r="147" spans="1:5" x14ac:dyDescent="0.25">
      <c r="A147" s="15"/>
      <c r="B147" s="15"/>
      <c r="C147" s="15"/>
      <c r="D147" s="15"/>
      <c r="E147" s="15"/>
    </row>
    <row r="148" spans="1:5" x14ac:dyDescent="0.25">
      <c r="A148" s="15"/>
      <c r="B148" s="15"/>
      <c r="C148" s="15"/>
      <c r="D148" s="15"/>
      <c r="E148" s="15"/>
    </row>
    <row r="149" spans="1:5" x14ac:dyDescent="0.25">
      <c r="A149" s="15"/>
      <c r="B149" s="15"/>
      <c r="C149" s="15"/>
      <c r="D149" s="15"/>
      <c r="E149" s="15"/>
    </row>
    <row r="150" spans="1:5" x14ac:dyDescent="0.25">
      <c r="A150" s="15"/>
      <c r="B150" s="15"/>
      <c r="C150" s="15"/>
      <c r="D150" s="15"/>
      <c r="E150" s="15"/>
    </row>
    <row r="151" spans="1:5" x14ac:dyDescent="0.25">
      <c r="A151" s="15"/>
      <c r="B151" s="15"/>
      <c r="C151" s="15"/>
      <c r="D151" s="15"/>
      <c r="E151" s="15"/>
    </row>
    <row r="152" spans="1:5" x14ac:dyDescent="0.25">
      <c r="A152" s="15"/>
      <c r="B152" s="15"/>
      <c r="C152" s="15"/>
      <c r="D152" s="15"/>
      <c r="E152" s="15"/>
    </row>
    <row r="153" spans="1:5" x14ac:dyDescent="0.25">
      <c r="A153" s="15"/>
      <c r="B153" s="15"/>
      <c r="C153" s="15"/>
      <c r="D153" s="15"/>
      <c r="E153" s="15"/>
    </row>
    <row r="154" spans="1:5" x14ac:dyDescent="0.25">
      <c r="A154" s="15"/>
      <c r="B154" s="15"/>
      <c r="C154" s="15"/>
      <c r="D154" s="15"/>
      <c r="E154" s="15"/>
    </row>
    <row r="155" spans="1:5" x14ac:dyDescent="0.25">
      <c r="A155" s="15"/>
      <c r="B155" s="15"/>
      <c r="C155" s="15"/>
      <c r="D155" s="15"/>
      <c r="E155" s="15"/>
    </row>
    <row r="156" spans="1:5" x14ac:dyDescent="0.25">
      <c r="A156" s="17"/>
      <c r="B156" s="15"/>
      <c r="C156" s="15"/>
      <c r="D156" s="15"/>
      <c r="E156" s="15"/>
    </row>
    <row r="157" spans="1:5" x14ac:dyDescent="0.25">
      <c r="A157" s="17"/>
      <c r="B157" s="15"/>
      <c r="C157" s="15"/>
      <c r="D157" s="15"/>
      <c r="E157" s="15"/>
    </row>
  </sheetData>
  <mergeCells count="8">
    <mergeCell ref="A1:F1"/>
    <mergeCell ref="A2:F2"/>
    <mergeCell ref="A55:E55"/>
    <mergeCell ref="U5:U9"/>
    <mergeCell ref="U12:U16"/>
    <mergeCell ref="U27:U28"/>
    <mergeCell ref="U29:U30"/>
    <mergeCell ref="U33:U37"/>
  </mergeCells>
  <conditionalFormatting sqref="F5:F50">
    <cfRule type="containsText" dxfId="59" priority="11" operator="containsText" text="fail">
      <formula>NOT(ISERROR(SEARCH("fail",F5)))</formula>
    </cfRule>
    <cfRule type="containsText" dxfId="58" priority="12" operator="containsText" text="pass">
      <formula>NOT(ISERROR(SEARCH("pass",F5)))</formula>
    </cfRule>
  </conditionalFormatting>
  <conditionalFormatting sqref="F4">
    <cfRule type="containsText" dxfId="57" priority="9" operator="containsText" text="fail">
      <formula>NOT(ISERROR(SEARCH("fail",F4)))</formula>
    </cfRule>
    <cfRule type="containsText" dxfId="56" priority="10" operator="containsText" text="pass">
      <formula>NOT(ISERROR(SEARCH("pass",F4)))</formula>
    </cfRule>
  </conditionalFormatting>
  <conditionalFormatting sqref="F51:F52">
    <cfRule type="containsText" dxfId="55" priority="7" operator="containsText" text="fail">
      <formula>NOT(ISERROR(SEARCH("fail",F51)))</formula>
    </cfRule>
    <cfRule type="containsText" dxfId="54" priority="8" operator="containsText" text="pass">
      <formula>NOT(ISERROR(SEARCH("pass",F51)))</formula>
    </cfRule>
  </conditionalFormatting>
  <conditionalFormatting sqref="F55 F70:F76 F78:F105">
    <cfRule type="containsText" dxfId="53" priority="5" operator="containsText" text="fail">
      <formula>NOT(ISERROR(SEARCH("fail",F55)))</formula>
    </cfRule>
    <cfRule type="containsText" dxfId="52" priority="6" operator="containsText" text="pass">
      <formula>NOT(ISERROR(SEARCH("pass",F55)))</formula>
    </cfRule>
  </conditionalFormatting>
  <conditionalFormatting sqref="F68:F69">
    <cfRule type="containsText" dxfId="51" priority="3" operator="containsText" text="fail">
      <formula>NOT(ISERROR(SEARCH("fail",F68)))</formula>
    </cfRule>
    <cfRule type="containsText" dxfId="50" priority="4" operator="containsText" text="pass">
      <formula>NOT(ISERROR(SEARCH("pass",F68)))</formula>
    </cfRule>
  </conditionalFormatting>
  <conditionalFormatting sqref="F56:F67">
    <cfRule type="containsText" dxfId="49" priority="1" operator="containsText" text="fail">
      <formula>NOT(ISERROR(SEARCH("fail",F56)))</formula>
    </cfRule>
    <cfRule type="containsText" dxfId="48" priority="2" operator="containsText" text="pass">
      <formula>NOT(ISERROR(SEARCH("pass",F56)))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5122" r:id="rId3" name="CommandButton2"/>
      </mc:Fallback>
    </mc:AlternateContent>
    <mc:AlternateContent xmlns:mc="http://schemas.openxmlformats.org/markup-compatibility/2006">
      <mc:Choice Requires="x14">
        <control shapeId="5121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512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8BDB4-F419-492A-AB83-74993D9EC439}">
  <sheetPr codeName="Sheet6"/>
  <dimension ref="A1:AF54"/>
  <sheetViews>
    <sheetView topLeftCell="O1" zoomScale="83" workbookViewId="0">
      <selection activeCell="A10" sqref="A10:E10"/>
    </sheetView>
  </sheetViews>
  <sheetFormatPr defaultRowHeight="15" x14ac:dyDescent="0.25"/>
  <cols>
    <col min="5" max="5" width="12.140625" bestFit="1" customWidth="1"/>
    <col min="6" max="6" width="15.425781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2" x14ac:dyDescent="0.25">
      <c r="A1" s="37" t="s">
        <v>18</v>
      </c>
      <c r="B1" s="37"/>
      <c r="C1" s="37"/>
      <c r="D1" s="37"/>
      <c r="E1" s="37"/>
      <c r="F1" s="3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7" t="s">
        <v>99</v>
      </c>
      <c r="B2" s="37"/>
      <c r="C2" s="37"/>
      <c r="D2" s="37"/>
      <c r="E2" s="37"/>
      <c r="F2" s="3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6">
        <v>1</v>
      </c>
      <c r="B4" s="13">
        <v>1</v>
      </c>
      <c r="C4" s="13">
        <v>500</v>
      </c>
      <c r="D4" s="13">
        <f>0.01*C4</f>
        <v>5</v>
      </c>
      <c r="E4" s="13">
        <v>5</v>
      </c>
      <c r="F4" s="6" t="s">
        <v>16</v>
      </c>
      <c r="G4" s="13">
        <v>1</v>
      </c>
      <c r="H4" s="13">
        <v>1</v>
      </c>
      <c r="I4" s="13">
        <v>1</v>
      </c>
      <c r="J4" s="13"/>
      <c r="K4" s="13"/>
      <c r="L4" s="13"/>
      <c r="M4" s="13"/>
      <c r="N4" s="13"/>
      <c r="O4" s="13"/>
      <c r="P4" s="13"/>
      <c r="Q4" s="13"/>
      <c r="R4" s="13">
        <v>1</v>
      </c>
      <c r="S4" s="19">
        <f>SUM(G4:R4)/12</f>
        <v>0.33333333333333331</v>
      </c>
      <c r="T4" s="20">
        <f>SUM(K4,M4,O4,Q4,R4,S4)/6</f>
        <v>0.22222222222222221</v>
      </c>
      <c r="U4" s="18">
        <v>0.1</v>
      </c>
      <c r="V4" s="18">
        <f>R4/1</f>
        <v>1</v>
      </c>
      <c r="W4" s="1"/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6">
        <v>2</v>
      </c>
      <c r="B5" s="6">
        <v>4</v>
      </c>
      <c r="C5" s="13">
        <v>500</v>
      </c>
      <c r="D5" s="13">
        <f>0.015*C5</f>
        <v>7.5</v>
      </c>
      <c r="E5" s="6">
        <v>7.5</v>
      </c>
      <c r="F5" s="6" t="s">
        <v>16</v>
      </c>
      <c r="G5" s="6">
        <v>1</v>
      </c>
      <c r="H5" s="6">
        <v>1</v>
      </c>
      <c r="I5" s="6"/>
      <c r="J5" s="6">
        <v>1</v>
      </c>
      <c r="K5" s="6">
        <v>1</v>
      </c>
      <c r="L5" s="6"/>
      <c r="M5" s="6"/>
      <c r="N5" s="6"/>
      <c r="O5" s="6"/>
      <c r="P5" s="6"/>
      <c r="Q5" s="6"/>
      <c r="R5" s="6">
        <v>1</v>
      </c>
      <c r="S5" s="19">
        <f t="shared" ref="S5:S7" si="0">SUM(G5:R5)/12</f>
        <v>0.41666666666666669</v>
      </c>
      <c r="T5" s="20">
        <f>SUM(K5,M5,O5,Q5,R5,S5)/6</f>
        <v>0.40277777777777773</v>
      </c>
      <c r="U5" s="18">
        <v>0.1</v>
      </c>
      <c r="V5" s="18">
        <f t="shared" ref="V5:V7" si="1">R5/1</f>
        <v>1</v>
      </c>
      <c r="W5" s="1"/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6">
        <v>3</v>
      </c>
      <c r="B6" s="6">
        <v>8</v>
      </c>
      <c r="C6" s="13">
        <v>500</v>
      </c>
      <c r="D6" s="13">
        <f>0.02*C6</f>
        <v>10</v>
      </c>
      <c r="E6" s="6">
        <v>10</v>
      </c>
      <c r="F6" s="6" t="s">
        <v>16</v>
      </c>
      <c r="G6" s="6">
        <v>1</v>
      </c>
      <c r="H6" s="6">
        <v>1</v>
      </c>
      <c r="I6" s="6"/>
      <c r="J6" s="6">
        <v>1</v>
      </c>
      <c r="K6" s="6"/>
      <c r="L6" s="6">
        <v>1</v>
      </c>
      <c r="M6" s="6">
        <v>1</v>
      </c>
      <c r="N6" s="6"/>
      <c r="O6" s="6"/>
      <c r="P6" s="6"/>
      <c r="Q6" s="6"/>
      <c r="R6" s="6">
        <v>1</v>
      </c>
      <c r="S6" s="19">
        <f t="shared" si="0"/>
        <v>0.5</v>
      </c>
      <c r="T6" s="20">
        <f>SUM(K6,M6,O6,Q6,R6,S6)/6</f>
        <v>0.41666666666666669</v>
      </c>
      <c r="U6" s="18">
        <v>0.1</v>
      </c>
      <c r="V6" s="18">
        <f t="shared" si="1"/>
        <v>1</v>
      </c>
      <c r="W6" s="1"/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6">
        <v>4</v>
      </c>
      <c r="B7" s="6">
        <v>15</v>
      </c>
      <c r="C7" s="13">
        <v>500</v>
      </c>
      <c r="D7" s="13">
        <f>0.025*C7</f>
        <v>12.5</v>
      </c>
      <c r="E7" s="6">
        <v>12.5</v>
      </c>
      <c r="F7" s="6" t="s">
        <v>16</v>
      </c>
      <c r="G7" s="6">
        <v>1</v>
      </c>
      <c r="H7" s="6">
        <v>1</v>
      </c>
      <c r="I7" s="6"/>
      <c r="J7" s="6">
        <v>1</v>
      </c>
      <c r="K7" s="6"/>
      <c r="L7" s="6">
        <v>1</v>
      </c>
      <c r="M7" s="6"/>
      <c r="N7" s="6">
        <v>1</v>
      </c>
      <c r="O7" s="6">
        <v>1</v>
      </c>
      <c r="P7" s="6"/>
      <c r="Q7" s="6"/>
      <c r="R7" s="6">
        <v>1</v>
      </c>
      <c r="S7" s="19">
        <f t="shared" si="0"/>
        <v>0.58333333333333337</v>
      </c>
      <c r="T7" s="20">
        <f>SUM(K7,M7,O7,Q7,R7,S7)/6</f>
        <v>0.43055555555555558</v>
      </c>
      <c r="U7" s="18">
        <v>0.1</v>
      </c>
      <c r="V7" s="18">
        <f t="shared" si="1"/>
        <v>1</v>
      </c>
      <c r="W7" s="1"/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6">
        <v>9999</v>
      </c>
      <c r="B8" s="6"/>
      <c r="C8" s="6"/>
      <c r="D8" s="1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19"/>
      <c r="T8" s="1"/>
      <c r="U8" s="18"/>
      <c r="V8" s="18"/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6"/>
      <c r="B9" s="6"/>
      <c r="C9" s="6"/>
      <c r="D9" s="13"/>
      <c r="E9" s="6"/>
      <c r="F9" s="6" t="s">
        <v>110</v>
      </c>
      <c r="G9" s="6">
        <f>SUM(G4:G7)</f>
        <v>4</v>
      </c>
      <c r="H9" s="6">
        <f t="shared" ref="H9:R9" si="2">SUM(H4:H7)</f>
        <v>4</v>
      </c>
      <c r="I9" s="6">
        <f t="shared" si="2"/>
        <v>1</v>
      </c>
      <c r="J9" s="6">
        <f t="shared" si="2"/>
        <v>3</v>
      </c>
      <c r="K9" s="6">
        <f t="shared" si="2"/>
        <v>1</v>
      </c>
      <c r="L9" s="6">
        <f t="shared" si="2"/>
        <v>2</v>
      </c>
      <c r="M9" s="6">
        <f t="shared" si="2"/>
        <v>1</v>
      </c>
      <c r="N9" s="6">
        <f t="shared" si="2"/>
        <v>1</v>
      </c>
      <c r="O9" s="6">
        <f t="shared" si="2"/>
        <v>1</v>
      </c>
      <c r="P9" s="6">
        <f t="shared" si="2"/>
        <v>0</v>
      </c>
      <c r="Q9" s="6">
        <f t="shared" si="2"/>
        <v>0</v>
      </c>
      <c r="R9" s="6">
        <f t="shared" si="2"/>
        <v>4</v>
      </c>
      <c r="S9" s="18">
        <f>COUNTIF(G9:R9,"&gt;0")/12</f>
        <v>0.83333333333333337</v>
      </c>
      <c r="T9" s="20">
        <f>SUM(COUNTIF(J9,"&gt;0"),COUNTIF(L9,"&gt;0"),COUNTIF(N9,"&gt;0"),COUNTIF(P9,"&gt;0"),COUNTIF(Q9,"&gt;0"),COUNTIF(R9,"&gt;0"))/6</f>
        <v>0.66666666666666663</v>
      </c>
      <c r="U9" s="18">
        <f>SUM(U4:U7)</f>
        <v>0.4</v>
      </c>
      <c r="V9" s="18">
        <f>COUNTIF(R9,"&gt;0")/1</f>
        <v>1</v>
      </c>
      <c r="W9" s="1"/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33" t="s">
        <v>133</v>
      </c>
      <c r="B10" s="33"/>
      <c r="C10" s="33"/>
      <c r="D10" s="33"/>
      <c r="E10" s="33"/>
      <c r="F10" s="1"/>
      <c r="G10" s="1"/>
      <c r="H10" s="1"/>
      <c r="I10" s="1"/>
      <c r="J10" s="1"/>
      <c r="K10" s="1"/>
      <c r="L10" s="1"/>
      <c r="M10" s="1"/>
      <c r="N10" s="1"/>
      <c r="O10" s="1"/>
      <c r="P10" s="6"/>
      <c r="Q10" s="6"/>
      <c r="R10" s="6"/>
      <c r="S10" s="19"/>
      <c r="T10" s="1"/>
      <c r="U10" s="20"/>
      <c r="V10" s="18"/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 t="s">
        <v>122</v>
      </c>
      <c r="B11" s="1" t="s">
        <v>123</v>
      </c>
      <c r="C11" s="1" t="s">
        <v>124</v>
      </c>
      <c r="D11" s="1" t="s">
        <v>125</v>
      </c>
      <c r="E11" s="15" t="s">
        <v>126</v>
      </c>
      <c r="F11" s="1"/>
      <c r="G11" s="15"/>
      <c r="H11" s="1"/>
      <c r="I11" s="1"/>
      <c r="J11" s="1"/>
      <c r="K11" s="1"/>
      <c r="L11" s="1"/>
      <c r="M11" s="1"/>
      <c r="N11" s="1"/>
      <c r="O11" s="1"/>
      <c r="P11" s="6"/>
      <c r="Q11" s="6"/>
      <c r="R11" s="6"/>
      <c r="S11" s="19"/>
      <c r="T11" s="1"/>
      <c r="U11" s="20"/>
      <c r="V11" s="18"/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 t="s">
        <v>115</v>
      </c>
      <c r="B12" s="1" t="s">
        <v>116</v>
      </c>
      <c r="C12" s="1" t="s">
        <v>117</v>
      </c>
      <c r="D12" s="1" t="s">
        <v>118</v>
      </c>
      <c r="E12" s="15" t="s">
        <v>119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6"/>
      <c r="Q12" s="6"/>
      <c r="R12" s="6"/>
      <c r="S12" s="19"/>
      <c r="T12" s="1"/>
      <c r="U12" s="20"/>
      <c r="V12" s="18"/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25" t="s">
        <v>120</v>
      </c>
      <c r="B13" s="25" t="s">
        <v>121</v>
      </c>
      <c r="C13" s="25" t="s">
        <v>121</v>
      </c>
      <c r="D13" s="25" t="s">
        <v>121</v>
      </c>
      <c r="E13" s="25" t="s">
        <v>120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6"/>
      <c r="Q13" s="6"/>
      <c r="R13" s="6"/>
      <c r="S13" s="19"/>
      <c r="T13" s="1"/>
      <c r="U13" s="20"/>
      <c r="V13" s="18"/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21" t="s">
        <v>120</v>
      </c>
      <c r="B14" s="21" t="s">
        <v>121</v>
      </c>
      <c r="C14" s="21" t="s">
        <v>121</v>
      </c>
      <c r="D14" s="21" t="s">
        <v>121</v>
      </c>
      <c r="E14" s="21" t="s">
        <v>121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6"/>
      <c r="Q14" s="6"/>
      <c r="R14" s="6"/>
      <c r="S14" s="1"/>
      <c r="T14" s="1"/>
      <c r="U14" s="20"/>
      <c r="V14" s="1"/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25" t="s">
        <v>121</v>
      </c>
      <c r="B15" s="25" t="s">
        <v>120</v>
      </c>
      <c r="C15" s="25" t="s">
        <v>121</v>
      </c>
      <c r="D15" s="25" t="s">
        <v>121</v>
      </c>
      <c r="E15" s="25" t="s">
        <v>120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6"/>
      <c r="Q15" s="6"/>
      <c r="R15" s="6"/>
      <c r="T15" s="1"/>
      <c r="U15" s="20"/>
      <c r="V15" s="1"/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21" t="s">
        <v>121</v>
      </c>
      <c r="B16" s="21" t="s">
        <v>120</v>
      </c>
      <c r="C16" s="21" t="s">
        <v>121</v>
      </c>
      <c r="D16" s="21" t="s">
        <v>121</v>
      </c>
      <c r="E16" s="21" t="s">
        <v>121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6"/>
      <c r="Q16" s="6"/>
      <c r="R16" s="6"/>
      <c r="S16" s="1"/>
      <c r="T16" s="1"/>
      <c r="U16" s="20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25" t="s">
        <v>121</v>
      </c>
      <c r="B17" s="25" t="s">
        <v>121</v>
      </c>
      <c r="C17" s="25" t="s">
        <v>120</v>
      </c>
      <c r="D17" s="25" t="s">
        <v>121</v>
      </c>
      <c r="E17" s="25" t="s">
        <v>120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6"/>
      <c r="Q17" s="6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21" t="s">
        <v>121</v>
      </c>
      <c r="B18" s="21" t="s">
        <v>121</v>
      </c>
      <c r="C18" s="21" t="s">
        <v>120</v>
      </c>
      <c r="D18" s="21" t="s">
        <v>121</v>
      </c>
      <c r="E18" s="21" t="s">
        <v>121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6"/>
      <c r="Q18" s="6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25" t="s">
        <v>121</v>
      </c>
      <c r="B19" s="25" t="s">
        <v>121</v>
      </c>
      <c r="C19" s="25" t="s">
        <v>121</v>
      </c>
      <c r="D19" s="25" t="s">
        <v>120</v>
      </c>
      <c r="E19" s="25" t="s">
        <v>120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6"/>
      <c r="Q19" s="6"/>
      <c r="R19" s="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21" t="s">
        <v>121</v>
      </c>
      <c r="B20" s="21" t="s">
        <v>121</v>
      </c>
      <c r="C20" s="21" t="s">
        <v>121</v>
      </c>
      <c r="D20" s="21" t="s">
        <v>120</v>
      </c>
      <c r="E20" s="21" t="s">
        <v>121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6"/>
      <c r="Q20" s="6"/>
      <c r="R20" s="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21" t="s">
        <v>121</v>
      </c>
      <c r="B21" s="21" t="s">
        <v>121</v>
      </c>
      <c r="C21" s="21" t="s">
        <v>121</v>
      </c>
      <c r="D21" s="21" t="s">
        <v>121</v>
      </c>
      <c r="E21" s="21" t="s">
        <v>120</v>
      </c>
      <c r="F21" s="1"/>
      <c r="G21" s="1"/>
      <c r="H21" s="1"/>
      <c r="I21" s="1"/>
      <c r="J21" s="1"/>
      <c r="K21" s="6"/>
      <c r="L21" s="1"/>
      <c r="M21" s="1"/>
      <c r="N21" s="1"/>
      <c r="O21" s="1"/>
      <c r="P21" s="6"/>
      <c r="Q21" s="6"/>
      <c r="R21" s="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1" t="s">
        <v>121</v>
      </c>
      <c r="B22" s="21" t="s">
        <v>121</v>
      </c>
      <c r="C22" s="21" t="s">
        <v>121</v>
      </c>
      <c r="D22" s="21" t="s">
        <v>121</v>
      </c>
      <c r="E22" s="21" t="s">
        <v>121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1"/>
      <c r="B23" s="1"/>
      <c r="C23" s="1"/>
      <c r="D23" s="2"/>
      <c r="E23" s="2"/>
      <c r="F23" s="1"/>
      <c r="G23" s="1"/>
      <c r="H23" s="1"/>
      <c r="I23" s="1"/>
      <c r="J23" s="1"/>
      <c r="K23" s="1"/>
      <c r="L23" s="1"/>
      <c r="M23" s="1"/>
      <c r="N23" s="1"/>
      <c r="O23" s="1"/>
      <c r="P23" s="6"/>
      <c r="Q23" s="6"/>
      <c r="R23" s="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6"/>
      <c r="B25" s="6"/>
      <c r="C25" s="13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6"/>
      <c r="B26" s="6"/>
      <c r="C26" s="13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6"/>
      <c r="B27" s="6"/>
      <c r="C27" s="13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6"/>
      <c r="B28" s="6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</row>
  </sheetData>
  <mergeCells count="3">
    <mergeCell ref="A1:F1"/>
    <mergeCell ref="A2:F2"/>
    <mergeCell ref="A10:E10"/>
  </mergeCells>
  <conditionalFormatting sqref="F5:F9 F25:F50">
    <cfRule type="containsText" dxfId="47" priority="9" operator="containsText" text="fail">
      <formula>NOT(ISERROR(SEARCH("fail",F5)))</formula>
    </cfRule>
    <cfRule type="containsText" dxfId="46" priority="10" operator="containsText" text="pass">
      <formula>NOT(ISERROR(SEARCH("pass",F5)))</formula>
    </cfRule>
  </conditionalFormatting>
  <conditionalFormatting sqref="F4">
    <cfRule type="containsText" dxfId="45" priority="7" operator="containsText" text="fail">
      <formula>NOT(ISERROR(SEARCH("fail",F4)))</formula>
    </cfRule>
    <cfRule type="containsText" dxfId="44" priority="8" operator="containsText" text="pass">
      <formula>NOT(ISERROR(SEARCH("pass",F4)))</formula>
    </cfRule>
  </conditionalFormatting>
  <conditionalFormatting sqref="F51:F52">
    <cfRule type="containsText" dxfId="43" priority="5" operator="containsText" text="fail">
      <formula>NOT(ISERROR(SEARCH("fail",F51)))</formula>
    </cfRule>
    <cfRule type="containsText" dxfId="42" priority="6" operator="containsText" text="pass">
      <formula>NOT(ISERROR(SEARCH("pass",F51)))</formula>
    </cfRule>
  </conditionalFormatting>
  <conditionalFormatting sqref="F23:F24">
    <cfRule type="containsText" dxfId="41" priority="3" operator="containsText" text="fail">
      <formula>NOT(ISERROR(SEARCH("fail",F23)))</formula>
    </cfRule>
    <cfRule type="containsText" dxfId="40" priority="4" operator="containsText" text="pass">
      <formula>NOT(ISERROR(SEARCH("pass",F23)))</formula>
    </cfRule>
  </conditionalFormatting>
  <conditionalFormatting sqref="F10:F22">
    <cfRule type="containsText" dxfId="39" priority="1" operator="containsText" text="fail">
      <formula>NOT(ISERROR(SEARCH("fail",F10)))</formula>
    </cfRule>
    <cfRule type="containsText" dxfId="38" priority="2" operator="containsText" text="pass">
      <formula>NOT(ISERROR(SEARCH("pass",F10)))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D513B-E614-4213-9943-5C2814DF15BD}">
  <sheetPr codeName="Sheet7"/>
  <dimension ref="A1:AF54"/>
  <sheetViews>
    <sheetView topLeftCell="P3" zoomScale="83" workbookViewId="0">
      <selection activeCell="A11" sqref="A11"/>
    </sheetView>
  </sheetViews>
  <sheetFormatPr defaultRowHeight="15" x14ac:dyDescent="0.25"/>
  <cols>
    <col min="5" max="5" width="12.140625" bestFit="1" customWidth="1"/>
    <col min="19" max="19" width="20.140625" bestFit="1" customWidth="1"/>
    <col min="20" max="20" width="16.7109375" bestFit="1" customWidth="1"/>
    <col min="21" max="21" width="12.85546875" bestFit="1" customWidth="1"/>
  </cols>
  <sheetData>
    <row r="1" spans="1:32" x14ac:dyDescent="0.25">
      <c r="A1" s="37" t="s">
        <v>18</v>
      </c>
      <c r="B1" s="37"/>
      <c r="C1" s="37"/>
      <c r="D1" s="37"/>
      <c r="E1" s="37"/>
      <c r="F1" s="3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7" t="s">
        <v>100</v>
      </c>
      <c r="B2" s="37"/>
      <c r="C2" s="37"/>
      <c r="D2" s="37"/>
      <c r="E2" s="37"/>
      <c r="F2" s="3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6">
        <v>1</v>
      </c>
      <c r="B4" s="13">
        <v>1</v>
      </c>
      <c r="C4" s="13">
        <v>500</v>
      </c>
      <c r="D4" s="13">
        <f>0.01*C4</f>
        <v>5</v>
      </c>
      <c r="E4" s="13">
        <v>5</v>
      </c>
      <c r="F4" s="6" t="s">
        <v>16</v>
      </c>
      <c r="G4" s="13">
        <v>1</v>
      </c>
      <c r="H4" s="13">
        <v>1</v>
      </c>
      <c r="I4" s="13">
        <v>1</v>
      </c>
      <c r="J4" s="13"/>
      <c r="K4" s="13"/>
      <c r="L4" s="13"/>
      <c r="M4" s="13"/>
      <c r="N4" s="13"/>
      <c r="O4" s="13"/>
      <c r="P4" s="13"/>
      <c r="Q4" s="13"/>
      <c r="R4" s="13">
        <v>1</v>
      </c>
      <c r="S4" s="19">
        <f>SUM(G4:R4)/12</f>
        <v>0.33333333333333331</v>
      </c>
      <c r="T4" s="20">
        <f>SUM(K4,M4,O4,Q4,R4,S4)/6</f>
        <v>0.22222222222222221</v>
      </c>
      <c r="U4" s="31">
        <v>0.1</v>
      </c>
      <c r="V4" s="18">
        <f>R4/1</f>
        <v>1</v>
      </c>
      <c r="W4" s="1"/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6">
        <v>2</v>
      </c>
      <c r="B5" s="6">
        <v>4</v>
      </c>
      <c r="C5" s="13">
        <v>500</v>
      </c>
      <c r="D5" s="13">
        <f>0.015*C5</f>
        <v>7.5</v>
      </c>
      <c r="E5" s="6">
        <v>7.5</v>
      </c>
      <c r="F5" s="6" t="s">
        <v>16</v>
      </c>
      <c r="G5" s="6">
        <v>1</v>
      </c>
      <c r="H5" s="6">
        <v>1</v>
      </c>
      <c r="I5" s="6"/>
      <c r="J5" s="6">
        <v>1</v>
      </c>
      <c r="K5" s="6">
        <v>1</v>
      </c>
      <c r="L5" s="6"/>
      <c r="M5" s="6"/>
      <c r="N5" s="6"/>
      <c r="O5" s="6"/>
      <c r="P5" s="6"/>
      <c r="Q5" s="6"/>
      <c r="R5" s="6">
        <v>1</v>
      </c>
      <c r="S5" s="19">
        <f t="shared" ref="S5:S7" si="0">SUM(G5:R5)/12</f>
        <v>0.41666666666666669</v>
      </c>
      <c r="T5" s="20">
        <f>SUM(K5,M5,O5,Q5,R5,S5)/6</f>
        <v>0.40277777777777773</v>
      </c>
      <c r="U5" s="31">
        <v>0.1</v>
      </c>
      <c r="V5" s="18">
        <f t="shared" ref="V5:V7" si="1">R5/1</f>
        <v>1</v>
      </c>
      <c r="W5" s="1"/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6">
        <v>3</v>
      </c>
      <c r="B6" s="6">
        <v>8</v>
      </c>
      <c r="C6" s="13">
        <v>500</v>
      </c>
      <c r="D6" s="13">
        <f>0.02*C6</f>
        <v>10</v>
      </c>
      <c r="E6" s="6">
        <v>10</v>
      </c>
      <c r="F6" s="6" t="s">
        <v>16</v>
      </c>
      <c r="G6" s="6">
        <v>1</v>
      </c>
      <c r="H6" s="6">
        <v>1</v>
      </c>
      <c r="I6" s="6"/>
      <c r="J6" s="6">
        <v>1</v>
      </c>
      <c r="K6" s="6"/>
      <c r="L6" s="6">
        <v>1</v>
      </c>
      <c r="M6" s="6">
        <v>1</v>
      </c>
      <c r="N6" s="6"/>
      <c r="O6" s="6"/>
      <c r="P6" s="6"/>
      <c r="Q6" s="6"/>
      <c r="R6" s="6">
        <v>1</v>
      </c>
      <c r="S6" s="19">
        <f t="shared" si="0"/>
        <v>0.5</v>
      </c>
      <c r="T6" s="20">
        <f>SUM(K6,M6,O6,Q6,R6,S6)/6</f>
        <v>0.41666666666666669</v>
      </c>
      <c r="U6" s="31">
        <v>0.1</v>
      </c>
      <c r="V6" s="18">
        <f t="shared" si="1"/>
        <v>1</v>
      </c>
      <c r="W6" s="1"/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6">
        <v>4</v>
      </c>
      <c r="B7" s="6">
        <v>15</v>
      </c>
      <c r="C7" s="13">
        <v>500</v>
      </c>
      <c r="D7" s="13">
        <f>0.025*C7</f>
        <v>12.5</v>
      </c>
      <c r="E7" s="6">
        <v>12.5</v>
      </c>
      <c r="F7" s="6" t="s">
        <v>16</v>
      </c>
      <c r="G7" s="6">
        <v>1</v>
      </c>
      <c r="H7" s="6">
        <v>1</v>
      </c>
      <c r="I7" s="6"/>
      <c r="J7" s="6">
        <v>1</v>
      </c>
      <c r="K7" s="6"/>
      <c r="L7" s="6">
        <v>1</v>
      </c>
      <c r="M7" s="6"/>
      <c r="N7" s="6">
        <v>1</v>
      </c>
      <c r="O7" s="6">
        <v>1</v>
      </c>
      <c r="P7" s="6"/>
      <c r="Q7" s="6"/>
      <c r="R7" s="6">
        <v>1</v>
      </c>
      <c r="S7" s="19">
        <f t="shared" si="0"/>
        <v>0.58333333333333337</v>
      </c>
      <c r="T7" s="20">
        <f>SUM(K7,M7,O7,Q7,R7,S7)/6</f>
        <v>0.43055555555555558</v>
      </c>
      <c r="U7" s="31">
        <v>0.1</v>
      </c>
      <c r="V7" s="18">
        <f t="shared" si="1"/>
        <v>1</v>
      </c>
      <c r="W7" s="1"/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6">
        <v>9999</v>
      </c>
      <c r="B8" s="6"/>
      <c r="C8" s="6"/>
      <c r="D8" s="1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19"/>
      <c r="T8" s="1"/>
      <c r="U8" s="31"/>
      <c r="V8" s="18"/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6"/>
      <c r="B9" s="6"/>
      <c r="C9" s="6"/>
      <c r="D9" s="13"/>
      <c r="E9" s="6"/>
      <c r="F9" s="6" t="s">
        <v>110</v>
      </c>
      <c r="G9" s="6">
        <f>SUM(G4:G7)</f>
        <v>4</v>
      </c>
      <c r="H9" s="6">
        <f t="shared" ref="H9:R9" si="2">SUM(H4:H7)</f>
        <v>4</v>
      </c>
      <c r="I9" s="6">
        <f t="shared" si="2"/>
        <v>1</v>
      </c>
      <c r="J9" s="6">
        <f t="shared" si="2"/>
        <v>3</v>
      </c>
      <c r="K9" s="6">
        <f t="shared" si="2"/>
        <v>1</v>
      </c>
      <c r="L9" s="6">
        <f t="shared" si="2"/>
        <v>2</v>
      </c>
      <c r="M9" s="6">
        <f t="shared" si="2"/>
        <v>1</v>
      </c>
      <c r="N9" s="6">
        <f t="shared" si="2"/>
        <v>1</v>
      </c>
      <c r="O9" s="6">
        <f t="shared" si="2"/>
        <v>1</v>
      </c>
      <c r="P9" s="6">
        <f t="shared" si="2"/>
        <v>0</v>
      </c>
      <c r="Q9" s="6">
        <f t="shared" si="2"/>
        <v>0</v>
      </c>
      <c r="R9" s="6">
        <f t="shared" si="2"/>
        <v>4</v>
      </c>
      <c r="S9" s="18">
        <f>COUNTIF(G9:R9,"&gt;0")/12</f>
        <v>0.83333333333333337</v>
      </c>
      <c r="T9" s="20">
        <f>SUM(COUNTIF(J9,"&gt;0"),COUNTIF(L9,"&gt;0"),COUNTIF(N9,"&gt;0"),COUNTIF(P9,"&gt;0"),COUNTIF(Q9,"&gt;0"),COUNTIF(R9,"&gt;0"))/6</f>
        <v>0.66666666666666663</v>
      </c>
      <c r="U9" s="31">
        <f>SUM(U4:U7)</f>
        <v>0.4</v>
      </c>
      <c r="V9" s="18">
        <f>COUNTIF(R9,"&gt;0")/1</f>
        <v>1</v>
      </c>
      <c r="W9" s="1"/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33" t="s">
        <v>133</v>
      </c>
      <c r="B10" s="33"/>
      <c r="C10" s="33"/>
      <c r="D10" s="33"/>
      <c r="E10" s="33"/>
      <c r="F10" s="1"/>
      <c r="G10" s="1"/>
      <c r="H10" s="1"/>
      <c r="I10" s="1"/>
      <c r="J10" s="1"/>
      <c r="K10" s="1"/>
      <c r="L10" s="1"/>
      <c r="M10" s="1"/>
      <c r="N10" s="1"/>
      <c r="O10" s="1"/>
      <c r="P10" s="6"/>
      <c r="Q10" s="6"/>
      <c r="R10" s="6"/>
      <c r="S10" s="19"/>
      <c r="T10" s="1"/>
      <c r="U10" s="1"/>
      <c r="V10" s="18"/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 t="s">
        <v>122</v>
      </c>
      <c r="B11" s="1" t="s">
        <v>123</v>
      </c>
      <c r="C11" s="1" t="s">
        <v>124</v>
      </c>
      <c r="D11" s="1" t="s">
        <v>125</v>
      </c>
      <c r="E11" s="15" t="s">
        <v>126</v>
      </c>
      <c r="F11" s="1"/>
      <c r="G11" s="15"/>
      <c r="H11" s="1"/>
      <c r="I11" s="1"/>
      <c r="J11" s="1"/>
      <c r="K11" s="1"/>
      <c r="L11" s="1"/>
      <c r="M11" s="1"/>
      <c r="N11" s="1"/>
      <c r="O11" s="1"/>
      <c r="P11" s="6"/>
      <c r="Q11" s="6"/>
      <c r="R11" s="6"/>
      <c r="S11" s="19"/>
      <c r="T11" s="1"/>
      <c r="U11" s="1"/>
      <c r="V11" s="18"/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 t="s">
        <v>115</v>
      </c>
      <c r="B12" s="1" t="s">
        <v>116</v>
      </c>
      <c r="C12" s="1" t="s">
        <v>117</v>
      </c>
      <c r="D12" s="1" t="s">
        <v>118</v>
      </c>
      <c r="E12" s="15" t="s">
        <v>119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6"/>
      <c r="Q12" s="6"/>
      <c r="R12" s="6"/>
      <c r="S12" s="19"/>
      <c r="T12" s="1"/>
      <c r="U12" s="1"/>
      <c r="V12" s="18"/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25" t="s">
        <v>120</v>
      </c>
      <c r="B13" s="25" t="s">
        <v>121</v>
      </c>
      <c r="C13" s="25" t="s">
        <v>121</v>
      </c>
      <c r="D13" s="25" t="s">
        <v>121</v>
      </c>
      <c r="E13" s="25" t="s">
        <v>120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6"/>
      <c r="Q13" s="6"/>
      <c r="R13" s="6"/>
      <c r="S13" s="19"/>
      <c r="T13" s="1"/>
      <c r="U13" s="1"/>
      <c r="V13" s="18"/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21" t="s">
        <v>120</v>
      </c>
      <c r="B14" s="21" t="s">
        <v>121</v>
      </c>
      <c r="C14" s="21" t="s">
        <v>121</v>
      </c>
      <c r="D14" s="21" t="s">
        <v>121</v>
      </c>
      <c r="E14" s="21" t="s">
        <v>121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6"/>
      <c r="Q14" s="6"/>
      <c r="R14" s="6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25" t="s">
        <v>121</v>
      </c>
      <c r="B15" s="25" t="s">
        <v>120</v>
      </c>
      <c r="C15" s="25" t="s">
        <v>121</v>
      </c>
      <c r="D15" s="25" t="s">
        <v>121</v>
      </c>
      <c r="E15" s="25" t="s">
        <v>120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6"/>
      <c r="Q15" s="6"/>
      <c r="R15" s="6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21" t="s">
        <v>121</v>
      </c>
      <c r="B16" s="21" t="s">
        <v>120</v>
      </c>
      <c r="C16" s="21" t="s">
        <v>121</v>
      </c>
      <c r="D16" s="21" t="s">
        <v>121</v>
      </c>
      <c r="E16" s="21" t="s">
        <v>121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6"/>
      <c r="Q16" s="6"/>
      <c r="R16" s="6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25" t="s">
        <v>121</v>
      </c>
      <c r="B17" s="25" t="s">
        <v>121</v>
      </c>
      <c r="C17" s="25" t="s">
        <v>120</v>
      </c>
      <c r="D17" s="25" t="s">
        <v>121</v>
      </c>
      <c r="E17" s="25" t="s">
        <v>120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6"/>
      <c r="Q17" s="6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21" t="s">
        <v>121</v>
      </c>
      <c r="B18" s="21" t="s">
        <v>121</v>
      </c>
      <c r="C18" s="21" t="s">
        <v>120</v>
      </c>
      <c r="D18" s="21" t="s">
        <v>121</v>
      </c>
      <c r="E18" s="21" t="s">
        <v>121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6"/>
      <c r="Q18" s="6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25" t="s">
        <v>121</v>
      </c>
      <c r="B19" s="25" t="s">
        <v>121</v>
      </c>
      <c r="C19" s="25" t="s">
        <v>121</v>
      </c>
      <c r="D19" s="25" t="s">
        <v>120</v>
      </c>
      <c r="E19" s="25" t="s">
        <v>120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6"/>
      <c r="Q19" s="6"/>
      <c r="R19" s="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21" t="s">
        <v>121</v>
      </c>
      <c r="B20" s="21" t="s">
        <v>121</v>
      </c>
      <c r="C20" s="21" t="s">
        <v>121</v>
      </c>
      <c r="D20" s="21" t="s">
        <v>120</v>
      </c>
      <c r="E20" s="21" t="s">
        <v>121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6"/>
      <c r="Q20" s="6"/>
      <c r="R20" s="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21" t="s">
        <v>121</v>
      </c>
      <c r="B21" s="21" t="s">
        <v>121</v>
      </c>
      <c r="C21" s="21" t="s">
        <v>121</v>
      </c>
      <c r="D21" s="21" t="s">
        <v>121</v>
      </c>
      <c r="E21" s="21" t="s">
        <v>120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6"/>
      <c r="Q21" s="6"/>
      <c r="R21" s="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1" t="s">
        <v>121</v>
      </c>
      <c r="B22" s="21" t="s">
        <v>121</v>
      </c>
      <c r="C22" s="21" t="s">
        <v>121</v>
      </c>
      <c r="D22" s="21" t="s">
        <v>121</v>
      </c>
      <c r="E22" s="21" t="s">
        <v>121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1"/>
      <c r="B23" s="1"/>
      <c r="C23" s="1"/>
      <c r="D23" s="2"/>
      <c r="E23" s="2"/>
      <c r="F23" s="1"/>
      <c r="G23" s="1"/>
      <c r="H23" s="1"/>
      <c r="I23" s="1"/>
      <c r="J23" s="1"/>
      <c r="K23" s="1"/>
      <c r="L23" s="1"/>
      <c r="M23" s="1"/>
      <c r="N23" s="1"/>
      <c r="O23" s="1"/>
      <c r="P23" s="6"/>
      <c r="Q23" s="6"/>
      <c r="R23" s="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6"/>
      <c r="B24" s="6"/>
      <c r="C24" s="6"/>
      <c r="D24" s="1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6"/>
      <c r="B25" s="6"/>
      <c r="C25" s="13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6"/>
      <c r="B26" s="6"/>
      <c r="C26" s="13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6"/>
      <c r="B27" s="6"/>
      <c r="C27" s="13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6"/>
      <c r="B28" s="6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</row>
  </sheetData>
  <mergeCells count="3">
    <mergeCell ref="A1:F1"/>
    <mergeCell ref="A2:F2"/>
    <mergeCell ref="A10:E10"/>
  </mergeCells>
  <conditionalFormatting sqref="F5:F9 F24:F50">
    <cfRule type="containsText" dxfId="37" priority="9" operator="containsText" text="fail">
      <formula>NOT(ISERROR(SEARCH("fail",F5)))</formula>
    </cfRule>
    <cfRule type="containsText" dxfId="36" priority="10" operator="containsText" text="pass">
      <formula>NOT(ISERROR(SEARCH("pass",F5)))</formula>
    </cfRule>
  </conditionalFormatting>
  <conditionalFormatting sqref="F4">
    <cfRule type="containsText" dxfId="35" priority="7" operator="containsText" text="fail">
      <formula>NOT(ISERROR(SEARCH("fail",F4)))</formula>
    </cfRule>
    <cfRule type="containsText" dxfId="34" priority="8" operator="containsText" text="pass">
      <formula>NOT(ISERROR(SEARCH("pass",F4)))</formula>
    </cfRule>
  </conditionalFormatting>
  <conditionalFormatting sqref="F51:F52">
    <cfRule type="containsText" dxfId="33" priority="5" operator="containsText" text="fail">
      <formula>NOT(ISERROR(SEARCH("fail",F51)))</formula>
    </cfRule>
    <cfRule type="containsText" dxfId="32" priority="6" operator="containsText" text="pass">
      <formula>NOT(ISERROR(SEARCH("pass",F51)))</formula>
    </cfRule>
  </conditionalFormatting>
  <conditionalFormatting sqref="F23">
    <cfRule type="containsText" dxfId="31" priority="3" operator="containsText" text="fail">
      <formula>NOT(ISERROR(SEARCH("fail",F23)))</formula>
    </cfRule>
    <cfRule type="containsText" dxfId="30" priority="4" operator="containsText" text="pass">
      <formula>NOT(ISERROR(SEARCH("pass",F23)))</formula>
    </cfRule>
  </conditionalFormatting>
  <conditionalFormatting sqref="F10:F22">
    <cfRule type="containsText" dxfId="29" priority="1" operator="containsText" text="fail">
      <formula>NOT(ISERROR(SEARCH("fail",F10)))</formula>
    </cfRule>
    <cfRule type="containsText" dxfId="28" priority="2" operator="containsText" text="pass">
      <formula>NOT(ISERROR(SEARCH("pass",F10)))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7170" r:id="rId3" name="CommandButton2"/>
      </mc:Fallback>
    </mc:AlternateContent>
    <mc:AlternateContent xmlns:mc="http://schemas.openxmlformats.org/markup-compatibility/2006">
      <mc:Choice Requires="x14">
        <control shapeId="7169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7169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3DC65-90DA-4514-B4DF-B548EADFE2A3}">
  <sheetPr codeName="Sheet8"/>
  <dimension ref="A1:AF54"/>
  <sheetViews>
    <sheetView topLeftCell="Q1" zoomScale="83" workbookViewId="0">
      <selection activeCell="A14" sqref="A14:E26"/>
    </sheetView>
  </sheetViews>
  <sheetFormatPr defaultRowHeight="15" x14ac:dyDescent="0.25"/>
  <cols>
    <col min="5" max="5" width="12.140625" bestFit="1" customWidth="1"/>
    <col min="6" max="6" width="15.425781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2" x14ac:dyDescent="0.25">
      <c r="A1" s="38" t="s">
        <v>18</v>
      </c>
      <c r="B1" s="38"/>
      <c r="C1" s="38"/>
      <c r="D1" s="38"/>
      <c r="E1" s="38"/>
      <c r="F1" s="38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8" t="s">
        <v>101</v>
      </c>
      <c r="B2" s="38"/>
      <c r="C2" s="38"/>
      <c r="D2" s="38"/>
      <c r="E2" s="38"/>
      <c r="F2" s="38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3" t="s">
        <v>0</v>
      </c>
      <c r="B3" s="13" t="s">
        <v>19</v>
      </c>
      <c r="C3" s="13" t="s">
        <v>20</v>
      </c>
      <c r="D3" s="13" t="s">
        <v>1</v>
      </c>
      <c r="E3" s="13" t="s">
        <v>2</v>
      </c>
      <c r="F3" s="13" t="s">
        <v>3</v>
      </c>
      <c r="G3" s="13" t="s">
        <v>4</v>
      </c>
      <c r="H3" s="13" t="s">
        <v>5</v>
      </c>
      <c r="I3" s="13" t="s">
        <v>6</v>
      </c>
      <c r="J3" s="13" t="s">
        <v>7</v>
      </c>
      <c r="K3" s="13" t="s">
        <v>8</v>
      </c>
      <c r="L3" s="13" t="s">
        <v>9</v>
      </c>
      <c r="M3" s="13" t="s">
        <v>10</v>
      </c>
      <c r="N3" s="13" t="s">
        <v>11</v>
      </c>
      <c r="O3" s="13" t="s">
        <v>12</v>
      </c>
      <c r="P3" s="13" t="s">
        <v>13</v>
      </c>
      <c r="Q3" s="13" t="s">
        <v>14</v>
      </c>
      <c r="R3" s="13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3">
        <v>1</v>
      </c>
      <c r="B4" s="13">
        <v>-1</v>
      </c>
      <c r="C4" s="13">
        <v>4</v>
      </c>
      <c r="D4" s="13" t="s">
        <v>17</v>
      </c>
      <c r="E4" s="13" t="s">
        <v>17</v>
      </c>
      <c r="F4" s="13" t="s">
        <v>16</v>
      </c>
      <c r="G4" s="13">
        <v>1</v>
      </c>
      <c r="H4" s="13"/>
      <c r="I4" s="13"/>
      <c r="J4" s="13"/>
      <c r="K4" s="13"/>
      <c r="L4" s="13"/>
      <c r="M4" s="13"/>
      <c r="N4" s="13"/>
      <c r="O4" s="13"/>
      <c r="P4" s="13"/>
      <c r="Q4" s="13">
        <v>1</v>
      </c>
      <c r="R4" s="13">
        <v>1</v>
      </c>
      <c r="S4" s="19">
        <f>SUM(G4:R4)/12</f>
        <v>0.25</v>
      </c>
      <c r="T4" s="20">
        <f>SUM(K4,M4,O4,Q4,R4,S4)/6</f>
        <v>0.375</v>
      </c>
      <c r="U4" s="28">
        <v>0.1</v>
      </c>
      <c r="V4" s="18">
        <f>R4/1</f>
        <v>1</v>
      </c>
      <c r="W4" s="1"/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13">
        <v>2</v>
      </c>
      <c r="B5" s="11">
        <v>-1</v>
      </c>
      <c r="C5" s="11">
        <v>500</v>
      </c>
      <c r="D5" s="11" t="s">
        <v>17</v>
      </c>
      <c r="E5" s="13" t="s">
        <v>17</v>
      </c>
      <c r="F5" s="13" t="s">
        <v>16</v>
      </c>
      <c r="G5" s="13">
        <v>1</v>
      </c>
      <c r="H5" s="13">
        <v>1</v>
      </c>
      <c r="I5" s="13"/>
      <c r="J5" s="13">
        <v>1</v>
      </c>
      <c r="K5" s="13"/>
      <c r="L5" s="13">
        <v>1</v>
      </c>
      <c r="M5" s="13"/>
      <c r="N5" s="13">
        <v>1</v>
      </c>
      <c r="O5" s="13"/>
      <c r="P5" s="13">
        <v>1</v>
      </c>
      <c r="Q5" s="13"/>
      <c r="R5" s="13">
        <v>1</v>
      </c>
      <c r="S5" s="19">
        <f t="shared" ref="S5:S11" si="0">SUM(G5:R5)/12</f>
        <v>0.58333333333333337</v>
      </c>
      <c r="T5" s="20">
        <f>SUM(K5,M5,O5,Q5,R5,S5)/6</f>
        <v>0.2638888888888889</v>
      </c>
      <c r="U5" s="28">
        <v>0.1</v>
      </c>
      <c r="V5" s="18">
        <f t="shared" ref="V5:V11" si="1">R5/1</f>
        <v>1</v>
      </c>
      <c r="W5" s="1"/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13">
        <v>3</v>
      </c>
      <c r="B6" s="13">
        <v>1</v>
      </c>
      <c r="C6" s="13">
        <v>500</v>
      </c>
      <c r="D6" s="13">
        <f>0.01*C6</f>
        <v>5</v>
      </c>
      <c r="E6" s="13">
        <v>5</v>
      </c>
      <c r="F6" s="13" t="s">
        <v>16</v>
      </c>
      <c r="G6" s="13">
        <v>1</v>
      </c>
      <c r="H6" s="13">
        <v>1</v>
      </c>
      <c r="I6" s="13">
        <v>1</v>
      </c>
      <c r="J6" s="13"/>
      <c r="K6" s="13"/>
      <c r="L6" s="13"/>
      <c r="M6" s="13"/>
      <c r="N6" s="13"/>
      <c r="O6" s="13"/>
      <c r="P6" s="13"/>
      <c r="Q6" s="13"/>
      <c r="R6" s="13">
        <v>1</v>
      </c>
      <c r="S6" s="19">
        <f t="shared" si="0"/>
        <v>0.33333333333333331</v>
      </c>
      <c r="T6" s="20">
        <f>SUM(K6,M6,O6,Q6,R6,S6)/6</f>
        <v>0.22222222222222221</v>
      </c>
      <c r="U6" s="28">
        <v>0.1</v>
      </c>
      <c r="V6" s="18">
        <f t="shared" si="1"/>
        <v>1</v>
      </c>
      <c r="W6" s="1"/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13">
        <v>4</v>
      </c>
      <c r="B7" s="13">
        <v>4</v>
      </c>
      <c r="C7" s="13">
        <v>500</v>
      </c>
      <c r="D7" s="13">
        <f>0.015*C7</f>
        <v>7.5</v>
      </c>
      <c r="E7" s="13">
        <v>7.5</v>
      </c>
      <c r="F7" s="13" t="s">
        <v>16</v>
      </c>
      <c r="G7" s="13">
        <v>1</v>
      </c>
      <c r="H7" s="13">
        <v>1</v>
      </c>
      <c r="I7" s="13"/>
      <c r="J7" s="13">
        <v>1</v>
      </c>
      <c r="K7" s="13">
        <v>1</v>
      </c>
      <c r="L7" s="13"/>
      <c r="M7" s="13"/>
      <c r="N7" s="13"/>
      <c r="O7" s="13"/>
      <c r="P7" s="13"/>
      <c r="Q7" s="13"/>
      <c r="R7" s="13">
        <v>1</v>
      </c>
      <c r="S7" s="19">
        <f t="shared" si="0"/>
        <v>0.41666666666666669</v>
      </c>
      <c r="T7" s="20">
        <f>SUM(K7,M7,O7,Q7,R7,S7)/6</f>
        <v>0.40277777777777773</v>
      </c>
      <c r="U7" s="28">
        <v>0.1</v>
      </c>
      <c r="V7" s="18">
        <f t="shared" si="1"/>
        <v>1</v>
      </c>
      <c r="W7" s="1"/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13">
        <v>5</v>
      </c>
      <c r="B8" s="13">
        <v>8</v>
      </c>
      <c r="C8" s="13">
        <v>500</v>
      </c>
      <c r="D8" s="13">
        <f>0.02*C8</f>
        <v>10</v>
      </c>
      <c r="E8" s="13">
        <v>10</v>
      </c>
      <c r="F8" s="13" t="s">
        <v>16</v>
      </c>
      <c r="G8" s="13">
        <v>1</v>
      </c>
      <c r="H8" s="13">
        <v>1</v>
      </c>
      <c r="I8" s="13"/>
      <c r="J8" s="13">
        <v>1</v>
      </c>
      <c r="K8" s="13"/>
      <c r="L8" s="13">
        <v>1</v>
      </c>
      <c r="M8" s="13">
        <v>1</v>
      </c>
      <c r="N8" s="13"/>
      <c r="O8" s="13"/>
      <c r="P8" s="13"/>
      <c r="Q8" s="13"/>
      <c r="R8" s="13">
        <v>1</v>
      </c>
      <c r="S8" s="19">
        <f t="shared" si="0"/>
        <v>0.5</v>
      </c>
      <c r="T8" s="20">
        <f t="shared" ref="T8:T11" si="2">SUM(K8,M8,O8,Q8,R8,S8)/6</f>
        <v>0.41666666666666669</v>
      </c>
      <c r="U8" s="28">
        <v>0.1</v>
      </c>
      <c r="V8" s="18">
        <f t="shared" si="1"/>
        <v>1</v>
      </c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13">
        <v>6</v>
      </c>
      <c r="B9" s="13">
        <v>15</v>
      </c>
      <c r="C9" s="13">
        <v>500</v>
      </c>
      <c r="D9" s="13">
        <f>0.025*C9</f>
        <v>12.5</v>
      </c>
      <c r="E9" s="13">
        <v>12.5</v>
      </c>
      <c r="F9" s="13" t="s">
        <v>16</v>
      </c>
      <c r="G9" s="13">
        <v>1</v>
      </c>
      <c r="H9" s="13">
        <v>1</v>
      </c>
      <c r="I9" s="13"/>
      <c r="J9" s="13">
        <v>1</v>
      </c>
      <c r="K9" s="13"/>
      <c r="L9" s="13">
        <v>1</v>
      </c>
      <c r="M9" s="13"/>
      <c r="N9" s="13">
        <v>1</v>
      </c>
      <c r="O9" s="13">
        <v>1</v>
      </c>
      <c r="P9" s="13"/>
      <c r="Q9" s="13"/>
      <c r="R9" s="13">
        <v>1</v>
      </c>
      <c r="S9" s="19">
        <f t="shared" si="0"/>
        <v>0.58333333333333337</v>
      </c>
      <c r="T9" s="20">
        <f t="shared" si="2"/>
        <v>0.43055555555555558</v>
      </c>
      <c r="U9" s="28">
        <v>0.1</v>
      </c>
      <c r="V9" s="18">
        <f t="shared" si="1"/>
        <v>1</v>
      </c>
      <c r="W9" s="1"/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13">
        <v>7</v>
      </c>
      <c r="B10" s="13">
        <v>15</v>
      </c>
      <c r="C10" s="13">
        <v>1001</v>
      </c>
      <c r="D10" s="13" t="s">
        <v>17</v>
      </c>
      <c r="E10" s="13" t="s">
        <v>17</v>
      </c>
      <c r="F10" s="13" t="s">
        <v>16</v>
      </c>
      <c r="G10" s="13">
        <v>1</v>
      </c>
      <c r="H10" s="13"/>
      <c r="I10" s="13"/>
      <c r="J10" s="13"/>
      <c r="K10" s="13"/>
      <c r="L10" s="13"/>
      <c r="M10" s="13"/>
      <c r="N10" s="13"/>
      <c r="O10" s="13"/>
      <c r="P10" s="13"/>
      <c r="Q10" s="13">
        <v>1</v>
      </c>
      <c r="R10" s="13">
        <v>1</v>
      </c>
      <c r="S10" s="19">
        <f t="shared" si="0"/>
        <v>0.25</v>
      </c>
      <c r="T10" s="20">
        <f t="shared" si="2"/>
        <v>0.375</v>
      </c>
      <c r="U10" s="28">
        <v>0.1</v>
      </c>
      <c r="V10" s="18">
        <f t="shared" si="1"/>
        <v>1</v>
      </c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3">
        <v>8</v>
      </c>
      <c r="B11" s="13">
        <v>21</v>
      </c>
      <c r="C11" s="13">
        <v>1001</v>
      </c>
      <c r="D11" s="13" t="s">
        <v>17</v>
      </c>
      <c r="E11" s="13" t="s">
        <v>17</v>
      </c>
      <c r="F11" s="13" t="s">
        <v>16</v>
      </c>
      <c r="G11" s="13">
        <v>1</v>
      </c>
      <c r="H11" s="13"/>
      <c r="I11" s="13"/>
      <c r="J11" s="13"/>
      <c r="K11" s="13"/>
      <c r="L11" s="13"/>
      <c r="M11" s="13"/>
      <c r="N11" s="13"/>
      <c r="O11" s="13"/>
      <c r="P11" s="13"/>
      <c r="Q11" s="13">
        <v>1</v>
      </c>
      <c r="R11" s="13">
        <v>1</v>
      </c>
      <c r="S11" s="19">
        <f t="shared" si="0"/>
        <v>0.25</v>
      </c>
      <c r="T11" s="20">
        <f t="shared" si="2"/>
        <v>0.375</v>
      </c>
      <c r="U11" s="1" t="s">
        <v>132</v>
      </c>
      <c r="V11" s="18">
        <f t="shared" si="1"/>
        <v>1</v>
      </c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3">
        <v>9999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9"/>
      <c r="T12" s="1"/>
      <c r="U12" s="1"/>
      <c r="V12" s="18"/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6"/>
      <c r="B13" s="6"/>
      <c r="C13" s="13"/>
      <c r="D13" s="13"/>
      <c r="E13" s="6"/>
      <c r="F13" s="6" t="s">
        <v>110</v>
      </c>
      <c r="G13" s="6">
        <f>SUM(G4:G11)</f>
        <v>8</v>
      </c>
      <c r="H13" s="6">
        <f t="shared" ref="H13:R13" si="3">SUM(H4:H11)</f>
        <v>5</v>
      </c>
      <c r="I13" s="6">
        <f t="shared" si="3"/>
        <v>1</v>
      </c>
      <c r="J13" s="6">
        <f t="shared" si="3"/>
        <v>4</v>
      </c>
      <c r="K13" s="6">
        <f t="shared" si="3"/>
        <v>1</v>
      </c>
      <c r="L13" s="6">
        <f t="shared" si="3"/>
        <v>3</v>
      </c>
      <c r="M13" s="6">
        <f t="shared" si="3"/>
        <v>1</v>
      </c>
      <c r="N13" s="6">
        <f t="shared" si="3"/>
        <v>2</v>
      </c>
      <c r="O13" s="6">
        <f t="shared" si="3"/>
        <v>1</v>
      </c>
      <c r="P13" s="6">
        <f t="shared" si="3"/>
        <v>1</v>
      </c>
      <c r="Q13" s="6">
        <f t="shared" si="3"/>
        <v>3</v>
      </c>
      <c r="R13" s="6">
        <f t="shared" si="3"/>
        <v>8</v>
      </c>
      <c r="S13" s="18">
        <f>COUNTIF(G13:R13,"&gt;0")/12</f>
        <v>1</v>
      </c>
      <c r="T13" s="20">
        <f>SUM(COUNTIF(J13,"&gt;0"),COUNTIF(L13,"&gt;0"),COUNTIF(N13,"&gt;0"),COUNTIF(P13,"&gt;0"),COUNTIF(Q13,"&gt;0"),COUNTIF(R13,"&gt;0"))/6</f>
        <v>1</v>
      </c>
      <c r="U13" s="28">
        <f>SUM(U4:U11)</f>
        <v>0.7</v>
      </c>
      <c r="V13" s="18">
        <f>COUNTIF(R13,"&gt;0")/1</f>
        <v>1</v>
      </c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33" t="s">
        <v>133</v>
      </c>
      <c r="B14" s="33"/>
      <c r="C14" s="33"/>
      <c r="D14" s="33"/>
      <c r="E14" s="33"/>
      <c r="F14" s="1"/>
      <c r="G14" s="1"/>
      <c r="H14" s="1"/>
      <c r="I14" s="1"/>
      <c r="J14" s="1"/>
      <c r="K14" s="1"/>
      <c r="L14" s="1"/>
      <c r="M14" s="1"/>
      <c r="N14" s="1"/>
      <c r="O14" s="1"/>
      <c r="P14" s="6"/>
      <c r="Q14" s="6"/>
      <c r="R14" s="6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1" t="s">
        <v>122</v>
      </c>
      <c r="B15" s="1" t="s">
        <v>123</v>
      </c>
      <c r="C15" s="1" t="s">
        <v>124</v>
      </c>
      <c r="D15" s="1" t="s">
        <v>125</v>
      </c>
      <c r="E15" s="15" t="s">
        <v>126</v>
      </c>
      <c r="F15" s="1"/>
      <c r="G15" s="15"/>
      <c r="H15" s="1"/>
      <c r="I15" s="1"/>
      <c r="J15" s="1"/>
      <c r="K15" s="1"/>
      <c r="L15" s="1"/>
      <c r="M15" s="1"/>
      <c r="N15" s="1"/>
      <c r="O15" s="1"/>
      <c r="P15" s="6"/>
      <c r="Q15" s="6"/>
      <c r="R15" s="6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1" t="s">
        <v>115</v>
      </c>
      <c r="B16" s="1" t="s">
        <v>116</v>
      </c>
      <c r="C16" s="1" t="s">
        <v>117</v>
      </c>
      <c r="D16" s="1" t="s">
        <v>118</v>
      </c>
      <c r="E16" s="15" t="s">
        <v>119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6"/>
      <c r="Q16" s="6"/>
      <c r="R16" s="6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25" t="s">
        <v>120</v>
      </c>
      <c r="B17" s="25" t="s">
        <v>121</v>
      </c>
      <c r="C17" s="25" t="s">
        <v>121</v>
      </c>
      <c r="D17" s="25" t="s">
        <v>121</v>
      </c>
      <c r="E17" s="25" t="s">
        <v>120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6"/>
      <c r="Q17" s="6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21" t="s">
        <v>120</v>
      </c>
      <c r="B18" s="21" t="s">
        <v>121</v>
      </c>
      <c r="C18" s="21" t="s">
        <v>121</v>
      </c>
      <c r="D18" s="21" t="s">
        <v>121</v>
      </c>
      <c r="E18" s="21" t="s">
        <v>121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6"/>
      <c r="Q18" s="6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25" t="s">
        <v>121</v>
      </c>
      <c r="B19" s="25" t="s">
        <v>120</v>
      </c>
      <c r="C19" s="25" t="s">
        <v>121</v>
      </c>
      <c r="D19" s="25" t="s">
        <v>121</v>
      </c>
      <c r="E19" s="25" t="s">
        <v>120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6"/>
      <c r="Q19" s="6"/>
      <c r="R19" s="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21" t="s">
        <v>121</v>
      </c>
      <c r="B20" s="21" t="s">
        <v>120</v>
      </c>
      <c r="C20" s="21" t="s">
        <v>121</v>
      </c>
      <c r="D20" s="21" t="s">
        <v>121</v>
      </c>
      <c r="E20" s="21" t="s">
        <v>121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6"/>
      <c r="Q20" s="6"/>
      <c r="R20" s="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25" t="s">
        <v>121</v>
      </c>
      <c r="B21" s="25" t="s">
        <v>121</v>
      </c>
      <c r="C21" s="25" t="s">
        <v>120</v>
      </c>
      <c r="D21" s="25" t="s">
        <v>121</v>
      </c>
      <c r="E21" s="25" t="s">
        <v>120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6"/>
      <c r="Q21" s="6"/>
      <c r="R21" s="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1" t="s">
        <v>121</v>
      </c>
      <c r="B22" s="21" t="s">
        <v>121</v>
      </c>
      <c r="C22" s="21" t="s">
        <v>120</v>
      </c>
      <c r="D22" s="21" t="s">
        <v>121</v>
      </c>
      <c r="E22" s="21" t="s">
        <v>121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25" t="s">
        <v>121</v>
      </c>
      <c r="B23" s="25" t="s">
        <v>121</v>
      </c>
      <c r="C23" s="25" t="s">
        <v>121</v>
      </c>
      <c r="D23" s="25" t="s">
        <v>120</v>
      </c>
      <c r="E23" s="25" t="s">
        <v>120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6"/>
      <c r="Q23" s="6"/>
      <c r="R23" s="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25" t="s">
        <v>121</v>
      </c>
      <c r="B24" s="25" t="s">
        <v>121</v>
      </c>
      <c r="C24" s="25" t="s">
        <v>121</v>
      </c>
      <c r="D24" s="25" t="s">
        <v>120</v>
      </c>
      <c r="E24" s="25" t="s">
        <v>121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6"/>
      <c r="Q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25" t="s">
        <v>121</v>
      </c>
      <c r="B25" s="25" t="s">
        <v>121</v>
      </c>
      <c r="C25" s="25" t="s">
        <v>121</v>
      </c>
      <c r="D25" s="25" t="s">
        <v>121</v>
      </c>
      <c r="E25" s="25" t="s">
        <v>120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25" t="s">
        <v>121</v>
      </c>
      <c r="B26" s="25" t="s">
        <v>121</v>
      </c>
      <c r="C26" s="25" t="s">
        <v>121</v>
      </c>
      <c r="D26" s="25" t="s">
        <v>121</v>
      </c>
      <c r="E26" s="25" t="s">
        <v>121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1"/>
      <c r="B27" s="1"/>
      <c r="C27" s="1"/>
      <c r="D27" s="2"/>
      <c r="E27" s="2"/>
      <c r="F27" s="1"/>
      <c r="G27" s="1"/>
      <c r="H27" s="1"/>
      <c r="I27" s="1"/>
      <c r="J27" s="1"/>
      <c r="K27" s="1"/>
      <c r="L27" s="1"/>
      <c r="M27" s="1"/>
      <c r="N27" s="1"/>
      <c r="O27" s="1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6"/>
      <c r="B28" s="6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</row>
  </sheetData>
  <mergeCells count="3">
    <mergeCell ref="A1:F1"/>
    <mergeCell ref="A2:F2"/>
    <mergeCell ref="A14:E14"/>
  </mergeCells>
  <conditionalFormatting sqref="F5:F13 F28:F50">
    <cfRule type="containsText" dxfId="27" priority="9" operator="containsText" text="fail">
      <formula>NOT(ISERROR(SEARCH("fail",F5)))</formula>
    </cfRule>
    <cfRule type="containsText" dxfId="26" priority="10" operator="containsText" text="pass">
      <formula>NOT(ISERROR(SEARCH("pass",F5)))</formula>
    </cfRule>
  </conditionalFormatting>
  <conditionalFormatting sqref="F4">
    <cfRule type="containsText" dxfId="25" priority="7" operator="containsText" text="fail">
      <formula>NOT(ISERROR(SEARCH("fail",F4)))</formula>
    </cfRule>
    <cfRule type="containsText" dxfId="24" priority="8" operator="containsText" text="pass">
      <formula>NOT(ISERROR(SEARCH("pass",F4)))</formula>
    </cfRule>
  </conditionalFormatting>
  <conditionalFormatting sqref="F51:F52">
    <cfRule type="containsText" dxfId="23" priority="5" operator="containsText" text="fail">
      <formula>NOT(ISERROR(SEARCH("fail",F51)))</formula>
    </cfRule>
    <cfRule type="containsText" dxfId="22" priority="6" operator="containsText" text="pass">
      <formula>NOT(ISERROR(SEARCH("pass",F51)))</formula>
    </cfRule>
  </conditionalFormatting>
  <conditionalFormatting sqref="F27">
    <cfRule type="containsText" dxfId="21" priority="3" operator="containsText" text="fail">
      <formula>NOT(ISERROR(SEARCH("fail",F27)))</formula>
    </cfRule>
    <cfRule type="containsText" dxfId="20" priority="4" operator="containsText" text="pass">
      <formula>NOT(ISERROR(SEARCH("pass",F27)))</formula>
    </cfRule>
  </conditionalFormatting>
  <conditionalFormatting sqref="F14:F26">
    <cfRule type="containsText" dxfId="19" priority="1" operator="containsText" text="fail">
      <formula>NOT(ISERROR(SEARCH("fail",F14)))</formula>
    </cfRule>
    <cfRule type="containsText" dxfId="18" priority="2" operator="containsText" text="pass">
      <formula>NOT(ISERROR(SEARCH("pass",F14)))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8194" r:id="rId3" name="CommandButton2"/>
      </mc:Fallback>
    </mc:AlternateContent>
    <mc:AlternateContent xmlns:mc="http://schemas.openxmlformats.org/markup-compatibility/2006">
      <mc:Choice Requires="x14">
        <control shapeId="8193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193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65899-D820-4DFD-BD01-D5D11F553395}">
  <sheetPr codeName="Sheet9"/>
  <dimension ref="A1:AF54"/>
  <sheetViews>
    <sheetView topLeftCell="P11" zoomScale="83" workbookViewId="0">
      <selection activeCell="A24" sqref="A24:E36"/>
    </sheetView>
  </sheetViews>
  <sheetFormatPr defaultRowHeight="15" x14ac:dyDescent="0.25"/>
  <cols>
    <col min="5" max="5" width="12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2" x14ac:dyDescent="0.25">
      <c r="A1" s="37" t="s">
        <v>18</v>
      </c>
      <c r="B1" s="37"/>
      <c r="C1" s="37"/>
      <c r="D1" s="37"/>
      <c r="E1" s="37"/>
      <c r="F1" s="3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7" t="s">
        <v>102</v>
      </c>
      <c r="B2" s="37"/>
      <c r="C2" s="37"/>
      <c r="D2" s="37"/>
      <c r="E2" s="37"/>
      <c r="F2" s="3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6">
        <v>1</v>
      </c>
      <c r="B4" s="13">
        <v>-1</v>
      </c>
      <c r="C4" s="13">
        <v>4</v>
      </c>
      <c r="D4" s="13" t="s">
        <v>17</v>
      </c>
      <c r="E4" s="13" t="s">
        <v>17</v>
      </c>
      <c r="F4" s="6" t="s">
        <v>16</v>
      </c>
      <c r="G4" s="13">
        <v>1</v>
      </c>
      <c r="H4" s="13"/>
      <c r="I4" s="13"/>
      <c r="J4" s="13"/>
      <c r="K4" s="13"/>
      <c r="L4" s="13"/>
      <c r="M4" s="13"/>
      <c r="N4" s="13"/>
      <c r="O4" s="13"/>
      <c r="P4" s="13"/>
      <c r="Q4" s="13">
        <v>1</v>
      </c>
      <c r="R4" s="13">
        <v>1</v>
      </c>
      <c r="S4" s="19">
        <f>SUM(G4:R4)/12</f>
        <v>0.25</v>
      </c>
      <c r="T4" s="20">
        <f>SUM(K4,M4,O4,Q4,R4,S4)/6</f>
        <v>0.375</v>
      </c>
      <c r="U4" s="28">
        <v>0.1</v>
      </c>
      <c r="V4" s="18">
        <f>R4/1</f>
        <v>1</v>
      </c>
      <c r="W4" s="1"/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6">
        <v>2</v>
      </c>
      <c r="B5" s="6">
        <v>-1</v>
      </c>
      <c r="C5" s="13">
        <v>500</v>
      </c>
      <c r="D5" s="13" t="s">
        <v>17</v>
      </c>
      <c r="E5" s="6" t="s">
        <v>17</v>
      </c>
      <c r="F5" s="6" t="s">
        <v>16</v>
      </c>
      <c r="G5" s="6">
        <v>1</v>
      </c>
      <c r="H5" s="6">
        <v>1</v>
      </c>
      <c r="I5" s="6"/>
      <c r="J5" s="6">
        <v>1</v>
      </c>
      <c r="K5" s="6"/>
      <c r="L5" s="6">
        <v>1</v>
      </c>
      <c r="M5" s="6"/>
      <c r="N5" s="6">
        <v>1</v>
      </c>
      <c r="O5" s="6"/>
      <c r="P5" s="6">
        <v>1</v>
      </c>
      <c r="Q5" s="6"/>
      <c r="R5" s="6">
        <v>1</v>
      </c>
      <c r="S5" s="19">
        <f t="shared" ref="S5:S21" si="0">SUM(G5:R5)/12</f>
        <v>0.58333333333333337</v>
      </c>
      <c r="T5" s="20">
        <f>SUM(K5,M5,O5,Q5,R5,S5)/6</f>
        <v>0.2638888888888889</v>
      </c>
      <c r="U5" s="28">
        <v>0.1</v>
      </c>
      <c r="V5" s="18">
        <f t="shared" ref="V5:V21" si="1">R5/1</f>
        <v>1</v>
      </c>
      <c r="W5" s="1"/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6">
        <v>3</v>
      </c>
      <c r="B6" s="6">
        <v>-1</v>
      </c>
      <c r="C6" s="13">
        <v>1001</v>
      </c>
      <c r="D6" s="13" t="s">
        <v>17</v>
      </c>
      <c r="E6" s="6" t="s">
        <v>17</v>
      </c>
      <c r="F6" s="6" t="s">
        <v>16</v>
      </c>
      <c r="G6" s="6">
        <v>1</v>
      </c>
      <c r="H6" s="6"/>
      <c r="I6" s="6"/>
      <c r="J6" s="6"/>
      <c r="K6" s="6"/>
      <c r="L6" s="6"/>
      <c r="M6" s="6"/>
      <c r="N6" s="6"/>
      <c r="O6" s="6"/>
      <c r="P6" s="6"/>
      <c r="Q6" s="6">
        <v>1</v>
      </c>
      <c r="R6" s="6">
        <v>1</v>
      </c>
      <c r="S6" s="19">
        <f t="shared" si="0"/>
        <v>0.25</v>
      </c>
      <c r="T6" s="20">
        <f>SUM(K6,M6,O6,Q6,R6,S6)/6</f>
        <v>0.375</v>
      </c>
      <c r="U6" s="1" t="s">
        <v>128</v>
      </c>
      <c r="V6" s="18">
        <f t="shared" si="1"/>
        <v>1</v>
      </c>
      <c r="W6" s="1"/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6">
        <v>4</v>
      </c>
      <c r="B7" s="6">
        <v>1</v>
      </c>
      <c r="C7" s="13">
        <v>4</v>
      </c>
      <c r="D7" s="13" t="s">
        <v>17</v>
      </c>
      <c r="E7" s="6" t="s">
        <v>17</v>
      </c>
      <c r="F7" s="6" t="s">
        <v>16</v>
      </c>
      <c r="G7" s="6">
        <v>1</v>
      </c>
      <c r="H7" s="6"/>
      <c r="I7" s="6"/>
      <c r="J7" s="6"/>
      <c r="K7" s="6"/>
      <c r="L7" s="6"/>
      <c r="M7" s="6"/>
      <c r="N7" s="6"/>
      <c r="O7" s="6"/>
      <c r="P7" s="6"/>
      <c r="Q7" s="6">
        <v>1</v>
      </c>
      <c r="R7" s="6">
        <v>1</v>
      </c>
      <c r="S7" s="19">
        <f t="shared" si="0"/>
        <v>0.25</v>
      </c>
      <c r="T7" s="20">
        <f>SUM(K7,M7,O7,Q7,R7,S7)/6</f>
        <v>0.375</v>
      </c>
      <c r="U7" s="28">
        <v>0.1</v>
      </c>
      <c r="V7" s="18">
        <f t="shared" si="1"/>
        <v>1</v>
      </c>
      <c r="W7" s="1"/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6">
        <v>5</v>
      </c>
      <c r="B8" s="6">
        <v>1</v>
      </c>
      <c r="C8" s="6">
        <v>500</v>
      </c>
      <c r="D8" s="13">
        <f>0.01*C8</f>
        <v>5</v>
      </c>
      <c r="E8" s="6">
        <v>5</v>
      </c>
      <c r="F8" s="6" t="s">
        <v>16</v>
      </c>
      <c r="G8" s="6">
        <v>1</v>
      </c>
      <c r="H8" s="6">
        <v>1</v>
      </c>
      <c r="I8" s="6">
        <v>1</v>
      </c>
      <c r="J8" s="6"/>
      <c r="K8" s="6"/>
      <c r="L8" s="6"/>
      <c r="M8" s="6"/>
      <c r="N8" s="6"/>
      <c r="O8" s="6"/>
      <c r="P8" s="6"/>
      <c r="Q8" s="6"/>
      <c r="R8" s="6">
        <v>1</v>
      </c>
      <c r="S8" s="19">
        <f t="shared" si="0"/>
        <v>0.33333333333333331</v>
      </c>
      <c r="T8" s="20">
        <f t="shared" ref="T8:T21" si="2">SUM(K8,M8,O8,Q8,R8,S8)/6</f>
        <v>0.22222222222222221</v>
      </c>
      <c r="U8" s="28">
        <v>0.1</v>
      </c>
      <c r="V8" s="18">
        <f t="shared" si="1"/>
        <v>1</v>
      </c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6">
        <v>6</v>
      </c>
      <c r="B9" s="6">
        <v>1</v>
      </c>
      <c r="C9" s="6">
        <v>1001</v>
      </c>
      <c r="D9" s="13" t="s">
        <v>17</v>
      </c>
      <c r="E9" s="6" t="s">
        <v>17</v>
      </c>
      <c r="F9" s="6" t="s">
        <v>16</v>
      </c>
      <c r="G9" s="6">
        <v>1</v>
      </c>
      <c r="H9" s="6"/>
      <c r="I9" s="6"/>
      <c r="J9" s="6"/>
      <c r="K9" s="6"/>
      <c r="L9" s="6"/>
      <c r="M9" s="6"/>
      <c r="N9" s="6"/>
      <c r="O9" s="6"/>
      <c r="P9" s="6"/>
      <c r="Q9" s="6">
        <v>1</v>
      </c>
      <c r="R9" s="6">
        <v>1</v>
      </c>
      <c r="S9" s="19">
        <f t="shared" si="0"/>
        <v>0.25</v>
      </c>
      <c r="T9" s="20">
        <f t="shared" si="2"/>
        <v>0.375</v>
      </c>
      <c r="U9" s="1" t="s">
        <v>127</v>
      </c>
      <c r="V9" s="18">
        <f t="shared" si="1"/>
        <v>1</v>
      </c>
      <c r="W9" s="1"/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6">
        <v>7</v>
      </c>
      <c r="B10" s="6">
        <v>4</v>
      </c>
      <c r="C10" s="6">
        <v>4</v>
      </c>
      <c r="D10" s="13" t="s">
        <v>17</v>
      </c>
      <c r="E10" s="6" t="s">
        <v>17</v>
      </c>
      <c r="F10" s="6" t="s">
        <v>16</v>
      </c>
      <c r="G10" s="6">
        <v>1</v>
      </c>
      <c r="H10" s="6"/>
      <c r="I10" s="6"/>
      <c r="J10" s="6"/>
      <c r="K10" s="6"/>
      <c r="L10" s="6"/>
      <c r="M10" s="6"/>
      <c r="N10" s="6"/>
      <c r="O10" s="6"/>
      <c r="P10" s="6"/>
      <c r="Q10" s="6">
        <v>1</v>
      </c>
      <c r="R10" s="6">
        <v>1</v>
      </c>
      <c r="S10" s="19">
        <f t="shared" si="0"/>
        <v>0.25</v>
      </c>
      <c r="T10" s="20">
        <f t="shared" si="2"/>
        <v>0.375</v>
      </c>
      <c r="U10" s="28">
        <v>0.1</v>
      </c>
      <c r="V10" s="18">
        <f t="shared" si="1"/>
        <v>1</v>
      </c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6">
        <v>8</v>
      </c>
      <c r="B11" s="6">
        <v>4</v>
      </c>
      <c r="C11" s="13">
        <v>500</v>
      </c>
      <c r="D11" s="13">
        <f>0.015*C11</f>
        <v>7.5</v>
      </c>
      <c r="E11" s="6">
        <v>7.5</v>
      </c>
      <c r="F11" s="6" t="s">
        <v>16</v>
      </c>
      <c r="G11" s="6">
        <v>1</v>
      </c>
      <c r="H11" s="6">
        <v>1</v>
      </c>
      <c r="I11" s="6"/>
      <c r="J11" s="6">
        <v>1</v>
      </c>
      <c r="K11" s="6">
        <v>1</v>
      </c>
      <c r="L11" s="6"/>
      <c r="M11" s="6"/>
      <c r="N11" s="6"/>
      <c r="O11" s="6"/>
      <c r="P11" s="6"/>
      <c r="Q11" s="6"/>
      <c r="R11" s="6">
        <v>1</v>
      </c>
      <c r="S11" s="19">
        <f t="shared" si="0"/>
        <v>0.41666666666666669</v>
      </c>
      <c r="T11" s="20">
        <f t="shared" si="2"/>
        <v>0.40277777777777773</v>
      </c>
      <c r="U11" s="28">
        <v>0.1</v>
      </c>
      <c r="V11" s="18">
        <f t="shared" si="1"/>
        <v>1</v>
      </c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6">
        <v>9</v>
      </c>
      <c r="B12" s="6">
        <v>4</v>
      </c>
      <c r="C12" s="13">
        <v>1001</v>
      </c>
      <c r="D12" s="13" t="s">
        <v>17</v>
      </c>
      <c r="E12" s="6" t="s">
        <v>17</v>
      </c>
      <c r="F12" s="6" t="s">
        <v>16</v>
      </c>
      <c r="G12" s="6">
        <v>1</v>
      </c>
      <c r="H12" s="6"/>
      <c r="I12" s="6"/>
      <c r="J12" s="6"/>
      <c r="K12" s="6"/>
      <c r="L12" s="6"/>
      <c r="M12" s="6"/>
      <c r="N12" s="6"/>
      <c r="O12" s="6"/>
      <c r="P12" s="6"/>
      <c r="Q12" s="6">
        <v>1</v>
      </c>
      <c r="R12" s="6">
        <v>1</v>
      </c>
      <c r="S12" s="19">
        <f t="shared" si="0"/>
        <v>0.25</v>
      </c>
      <c r="T12" s="20">
        <f t="shared" si="2"/>
        <v>0.375</v>
      </c>
      <c r="U12" s="1" t="s">
        <v>132</v>
      </c>
      <c r="V12" s="18">
        <f t="shared" si="1"/>
        <v>1</v>
      </c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6">
        <v>10</v>
      </c>
      <c r="B13" s="6">
        <v>8</v>
      </c>
      <c r="C13" s="13">
        <v>4</v>
      </c>
      <c r="D13" s="13" t="s">
        <v>17</v>
      </c>
      <c r="E13" s="6" t="s">
        <v>17</v>
      </c>
      <c r="F13" s="6" t="s">
        <v>16</v>
      </c>
      <c r="G13" s="6">
        <v>1</v>
      </c>
      <c r="H13" s="6"/>
      <c r="I13" s="6"/>
      <c r="J13" s="6"/>
      <c r="K13" s="6"/>
      <c r="L13" s="6"/>
      <c r="M13" s="6"/>
      <c r="N13" s="6"/>
      <c r="O13" s="6"/>
      <c r="P13" s="6"/>
      <c r="Q13" s="6">
        <v>1</v>
      </c>
      <c r="R13" s="6">
        <v>1</v>
      </c>
      <c r="S13" s="19">
        <f t="shared" si="0"/>
        <v>0.25</v>
      </c>
      <c r="T13" s="20">
        <f t="shared" si="2"/>
        <v>0.375</v>
      </c>
      <c r="U13" s="28">
        <v>0.1</v>
      </c>
      <c r="V13" s="18">
        <f t="shared" si="1"/>
        <v>1</v>
      </c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6">
        <v>11</v>
      </c>
      <c r="B14" s="6">
        <v>8</v>
      </c>
      <c r="C14" s="13">
        <v>500</v>
      </c>
      <c r="D14" s="13">
        <f>0.02*C14</f>
        <v>10</v>
      </c>
      <c r="E14" s="6">
        <v>10</v>
      </c>
      <c r="F14" s="6" t="s">
        <v>16</v>
      </c>
      <c r="G14" s="6">
        <v>1</v>
      </c>
      <c r="H14" s="6">
        <v>1</v>
      </c>
      <c r="I14" s="6"/>
      <c r="J14" s="6">
        <v>1</v>
      </c>
      <c r="K14" s="6"/>
      <c r="L14" s="6">
        <v>1</v>
      </c>
      <c r="M14" s="6">
        <v>1</v>
      </c>
      <c r="N14" s="6"/>
      <c r="O14" s="6"/>
      <c r="P14" s="6"/>
      <c r="Q14" s="6"/>
      <c r="R14" s="6">
        <v>1</v>
      </c>
      <c r="S14" s="19">
        <f t="shared" si="0"/>
        <v>0.5</v>
      </c>
      <c r="T14" s="20">
        <f t="shared" si="2"/>
        <v>0.41666666666666669</v>
      </c>
      <c r="U14" s="18">
        <v>0.1</v>
      </c>
      <c r="V14" s="18">
        <f t="shared" si="1"/>
        <v>1</v>
      </c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6">
        <v>12</v>
      </c>
      <c r="B15" s="6">
        <v>8</v>
      </c>
      <c r="C15" s="6">
        <v>1001</v>
      </c>
      <c r="D15" s="13" t="s">
        <v>17</v>
      </c>
      <c r="E15" s="6" t="s">
        <v>17</v>
      </c>
      <c r="F15" s="6" t="s">
        <v>16</v>
      </c>
      <c r="G15" s="6">
        <v>1</v>
      </c>
      <c r="H15" s="6"/>
      <c r="I15" s="6"/>
      <c r="J15" s="6"/>
      <c r="K15" s="6"/>
      <c r="L15" s="6"/>
      <c r="M15" s="6"/>
      <c r="N15" s="6"/>
      <c r="O15" s="6"/>
      <c r="P15" s="6"/>
      <c r="Q15" s="6">
        <v>1</v>
      </c>
      <c r="R15" s="6">
        <v>1</v>
      </c>
      <c r="S15" s="19">
        <f t="shared" si="0"/>
        <v>0.25</v>
      </c>
      <c r="T15" s="20">
        <f t="shared" si="2"/>
        <v>0.375</v>
      </c>
      <c r="U15" s="1" t="s">
        <v>136</v>
      </c>
      <c r="V15" s="18">
        <f t="shared" si="1"/>
        <v>1</v>
      </c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6">
        <v>13</v>
      </c>
      <c r="B16" s="6">
        <v>15</v>
      </c>
      <c r="C16" s="6">
        <v>4</v>
      </c>
      <c r="D16" s="13" t="s">
        <v>17</v>
      </c>
      <c r="E16" s="6" t="s">
        <v>17</v>
      </c>
      <c r="F16" s="6" t="s">
        <v>16</v>
      </c>
      <c r="G16" s="6">
        <v>1</v>
      </c>
      <c r="H16" s="6"/>
      <c r="I16" s="6"/>
      <c r="J16" s="6"/>
      <c r="K16" s="6"/>
      <c r="L16" s="6"/>
      <c r="M16" s="6"/>
      <c r="N16" s="6"/>
      <c r="O16" s="6"/>
      <c r="P16" s="6"/>
      <c r="Q16" s="6">
        <v>1</v>
      </c>
      <c r="R16" s="6">
        <v>1</v>
      </c>
      <c r="S16" s="19">
        <f t="shared" si="0"/>
        <v>0.25</v>
      </c>
      <c r="T16" s="20">
        <f t="shared" si="2"/>
        <v>0.375</v>
      </c>
      <c r="U16" s="28">
        <v>0.1</v>
      </c>
      <c r="V16" s="18">
        <f t="shared" si="1"/>
        <v>1</v>
      </c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6">
        <v>14</v>
      </c>
      <c r="B17" s="6">
        <v>15</v>
      </c>
      <c r="C17" s="6">
        <v>500</v>
      </c>
      <c r="D17" s="13">
        <f>0.025*C17</f>
        <v>12.5</v>
      </c>
      <c r="E17" s="6">
        <v>12.5</v>
      </c>
      <c r="F17" s="6" t="s">
        <v>16</v>
      </c>
      <c r="G17" s="6">
        <v>1</v>
      </c>
      <c r="H17" s="6">
        <v>1</v>
      </c>
      <c r="I17" s="6"/>
      <c r="J17" s="6">
        <v>1</v>
      </c>
      <c r="K17" s="6"/>
      <c r="L17" s="6">
        <v>1</v>
      </c>
      <c r="M17" s="6"/>
      <c r="N17" s="6">
        <v>1</v>
      </c>
      <c r="O17" s="6">
        <v>1</v>
      </c>
      <c r="P17" s="6"/>
      <c r="Q17" s="6"/>
      <c r="R17" s="6">
        <v>1</v>
      </c>
      <c r="S17" s="19">
        <f t="shared" si="0"/>
        <v>0.58333333333333337</v>
      </c>
      <c r="T17" s="20">
        <f t="shared" si="2"/>
        <v>0.43055555555555558</v>
      </c>
      <c r="U17" s="28">
        <v>0.1</v>
      </c>
      <c r="V17" s="18">
        <f t="shared" si="1"/>
        <v>1</v>
      </c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6">
        <v>15</v>
      </c>
      <c r="B18" s="6">
        <v>15</v>
      </c>
      <c r="C18" s="13">
        <v>1001</v>
      </c>
      <c r="D18" s="13" t="s">
        <v>17</v>
      </c>
      <c r="E18" s="6" t="s">
        <v>17</v>
      </c>
      <c r="F18" s="6" t="s">
        <v>16</v>
      </c>
      <c r="G18" s="6">
        <v>1</v>
      </c>
      <c r="H18" s="6"/>
      <c r="I18" s="6"/>
      <c r="J18" s="6"/>
      <c r="K18" s="6"/>
      <c r="L18" s="6"/>
      <c r="M18" s="6"/>
      <c r="N18" s="6"/>
      <c r="O18" s="6"/>
      <c r="P18" s="6"/>
      <c r="Q18" s="6">
        <v>1</v>
      </c>
      <c r="R18" s="6">
        <v>1</v>
      </c>
      <c r="S18" s="19">
        <f t="shared" si="0"/>
        <v>0.25</v>
      </c>
      <c r="T18" s="20">
        <f t="shared" si="2"/>
        <v>0.375</v>
      </c>
      <c r="U18" s="28" t="s">
        <v>137</v>
      </c>
      <c r="V18" s="18">
        <f t="shared" si="1"/>
        <v>1</v>
      </c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6">
        <v>16</v>
      </c>
      <c r="B19" s="6">
        <v>21</v>
      </c>
      <c r="C19" s="13">
        <v>4</v>
      </c>
      <c r="D19" s="13" t="s">
        <v>17</v>
      </c>
      <c r="E19" s="6" t="s">
        <v>17</v>
      </c>
      <c r="F19" s="6" t="s">
        <v>16</v>
      </c>
      <c r="G19" s="6">
        <v>1</v>
      </c>
      <c r="H19" s="6"/>
      <c r="I19" s="6"/>
      <c r="J19" s="6"/>
      <c r="K19" s="6"/>
      <c r="L19" s="6"/>
      <c r="M19" s="6"/>
      <c r="N19" s="6"/>
      <c r="O19" s="6"/>
      <c r="P19" s="6"/>
      <c r="Q19" s="6">
        <v>1</v>
      </c>
      <c r="R19" s="6">
        <v>1</v>
      </c>
      <c r="S19" s="19">
        <f t="shared" si="0"/>
        <v>0.25</v>
      </c>
      <c r="T19" s="20">
        <f t="shared" si="2"/>
        <v>0.375</v>
      </c>
      <c r="U19" s="1" t="s">
        <v>128</v>
      </c>
      <c r="V19" s="18">
        <f t="shared" si="1"/>
        <v>1</v>
      </c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6">
        <v>17</v>
      </c>
      <c r="B20" s="6">
        <v>21</v>
      </c>
      <c r="C20" s="13">
        <v>500</v>
      </c>
      <c r="D20" s="13" t="s">
        <v>17</v>
      </c>
      <c r="E20" s="6" t="s">
        <v>17</v>
      </c>
      <c r="F20" s="6" t="s">
        <v>16</v>
      </c>
      <c r="G20" s="6">
        <v>1</v>
      </c>
      <c r="H20" s="6">
        <v>1</v>
      </c>
      <c r="I20" s="6"/>
      <c r="J20" s="6">
        <v>1</v>
      </c>
      <c r="K20" s="6"/>
      <c r="L20" s="6">
        <v>1</v>
      </c>
      <c r="M20" s="6"/>
      <c r="N20" s="6">
        <v>1</v>
      </c>
      <c r="O20" s="6"/>
      <c r="P20" s="6">
        <v>1</v>
      </c>
      <c r="Q20" s="6"/>
      <c r="R20" s="6">
        <v>1</v>
      </c>
      <c r="S20" s="19">
        <f t="shared" si="0"/>
        <v>0.58333333333333337</v>
      </c>
      <c r="T20" s="20">
        <f t="shared" si="2"/>
        <v>0.2638888888888889</v>
      </c>
      <c r="U20" s="1" t="s">
        <v>131</v>
      </c>
      <c r="V20" s="18">
        <f t="shared" si="1"/>
        <v>1</v>
      </c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6">
        <v>18</v>
      </c>
      <c r="B21" s="6">
        <v>21</v>
      </c>
      <c r="C21" s="13">
        <v>1001</v>
      </c>
      <c r="D21" s="13" t="s">
        <v>17</v>
      </c>
      <c r="E21" s="6" t="s">
        <v>17</v>
      </c>
      <c r="F21" s="6" t="s">
        <v>16</v>
      </c>
      <c r="G21" s="6">
        <v>1</v>
      </c>
      <c r="H21" s="6"/>
      <c r="I21" s="6"/>
      <c r="J21" s="6"/>
      <c r="K21" s="6"/>
      <c r="L21" s="6"/>
      <c r="M21" s="6"/>
      <c r="N21" s="6"/>
      <c r="O21" s="6"/>
      <c r="P21" s="6"/>
      <c r="Q21" s="6">
        <v>1</v>
      </c>
      <c r="R21" s="6">
        <v>1</v>
      </c>
      <c r="S21" s="19">
        <f t="shared" si="0"/>
        <v>0.25</v>
      </c>
      <c r="T21" s="20">
        <f t="shared" si="2"/>
        <v>0.375</v>
      </c>
      <c r="U21" s="1" t="s">
        <v>128</v>
      </c>
      <c r="V21" s="18">
        <f t="shared" si="1"/>
        <v>1</v>
      </c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6">
        <v>9999</v>
      </c>
      <c r="B22" s="6"/>
      <c r="C22" s="6"/>
      <c r="D22" s="13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6"/>
      <c r="B23" s="6"/>
      <c r="C23" s="6"/>
      <c r="D23" s="13"/>
      <c r="E23" s="6"/>
      <c r="F23" s="6" t="s">
        <v>110</v>
      </c>
      <c r="G23" s="6">
        <f>SUM(G4:G21)</f>
        <v>18</v>
      </c>
      <c r="H23" s="6">
        <f t="shared" ref="H23:R23" si="3">SUM(H4:H21)</f>
        <v>6</v>
      </c>
      <c r="I23" s="6">
        <f t="shared" si="3"/>
        <v>1</v>
      </c>
      <c r="J23" s="6">
        <f t="shared" si="3"/>
        <v>5</v>
      </c>
      <c r="K23" s="6">
        <f t="shared" si="3"/>
        <v>1</v>
      </c>
      <c r="L23" s="6">
        <f t="shared" si="3"/>
        <v>4</v>
      </c>
      <c r="M23" s="6">
        <f t="shared" si="3"/>
        <v>1</v>
      </c>
      <c r="N23" s="6">
        <f t="shared" si="3"/>
        <v>3</v>
      </c>
      <c r="O23" s="6">
        <f t="shared" si="3"/>
        <v>1</v>
      </c>
      <c r="P23" s="6">
        <f t="shared" si="3"/>
        <v>2</v>
      </c>
      <c r="Q23" s="6">
        <f t="shared" si="3"/>
        <v>12</v>
      </c>
      <c r="R23" s="6">
        <f t="shared" si="3"/>
        <v>18</v>
      </c>
      <c r="S23" s="20">
        <f>COUNTIF(G23:R23,"&gt;0")/12</f>
        <v>1</v>
      </c>
      <c r="T23" s="20">
        <f>SUM(COUNTIF(J23,"&gt;0"),COUNTIF(L23,"&gt;0"),COUNTIF(N23,"&gt;0"),COUNTIF(P23,"&gt;0"),COUNTIF(Q23,"&gt;0"),COUNTIF(R23,"&gt;0"))/6</f>
        <v>1</v>
      </c>
      <c r="U23" s="28">
        <f>SUM(U4:U21)</f>
        <v>0.99999999999999989</v>
      </c>
      <c r="V23" s="18">
        <f>COUNTIF(R23,"&gt;0")/1</f>
        <v>1</v>
      </c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33" t="s">
        <v>133</v>
      </c>
      <c r="B24" s="33"/>
      <c r="C24" s="33"/>
      <c r="D24" s="33"/>
      <c r="E24" s="33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1" t="s">
        <v>122</v>
      </c>
      <c r="B25" s="1" t="s">
        <v>123</v>
      </c>
      <c r="C25" s="1" t="s">
        <v>124</v>
      </c>
      <c r="D25" s="1" t="s">
        <v>125</v>
      </c>
      <c r="E25" s="15" t="s">
        <v>126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1" t="s">
        <v>115</v>
      </c>
      <c r="B26" s="1" t="s">
        <v>116</v>
      </c>
      <c r="C26" s="1" t="s">
        <v>117</v>
      </c>
      <c r="D26" s="1" t="s">
        <v>118</v>
      </c>
      <c r="E26" s="15" t="s">
        <v>119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25" t="s">
        <v>120</v>
      </c>
      <c r="B27" s="25" t="s">
        <v>121</v>
      </c>
      <c r="C27" s="25" t="s">
        <v>121</v>
      </c>
      <c r="D27" s="25" t="s">
        <v>121</v>
      </c>
      <c r="E27" s="25" t="s">
        <v>120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25" t="s">
        <v>120</v>
      </c>
      <c r="B28" s="25" t="s">
        <v>121</v>
      </c>
      <c r="C28" s="25" t="s">
        <v>121</v>
      </c>
      <c r="D28" s="25" t="s">
        <v>121</v>
      </c>
      <c r="E28" s="25" t="s">
        <v>121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25" t="s">
        <v>121</v>
      </c>
      <c r="B29" s="25" t="s">
        <v>120</v>
      </c>
      <c r="C29" s="25" t="s">
        <v>121</v>
      </c>
      <c r="D29" s="25" t="s">
        <v>121</v>
      </c>
      <c r="E29" s="25" t="s">
        <v>120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25" t="s">
        <v>121</v>
      </c>
      <c r="B30" s="25" t="s">
        <v>120</v>
      </c>
      <c r="C30" s="25" t="s">
        <v>121</v>
      </c>
      <c r="D30" s="25" t="s">
        <v>121</v>
      </c>
      <c r="E30" s="25" t="s">
        <v>121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25" t="s">
        <v>121</v>
      </c>
      <c r="B31" s="25" t="s">
        <v>121</v>
      </c>
      <c r="C31" s="25" t="s">
        <v>120</v>
      </c>
      <c r="D31" s="25" t="s">
        <v>121</v>
      </c>
      <c r="E31" s="25" t="s">
        <v>120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25" t="s">
        <v>121</v>
      </c>
      <c r="B32" s="25" t="s">
        <v>121</v>
      </c>
      <c r="C32" s="25" t="s">
        <v>120</v>
      </c>
      <c r="D32" s="25" t="s">
        <v>121</v>
      </c>
      <c r="E32" s="25" t="s">
        <v>121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25" t="s">
        <v>121</v>
      </c>
      <c r="B33" s="25" t="s">
        <v>121</v>
      </c>
      <c r="C33" s="25" t="s">
        <v>121</v>
      </c>
      <c r="D33" s="25" t="s">
        <v>120</v>
      </c>
      <c r="E33" s="25" t="s">
        <v>120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25" t="s">
        <v>121</v>
      </c>
      <c r="B34" s="25" t="s">
        <v>121</v>
      </c>
      <c r="C34" s="25" t="s">
        <v>121</v>
      </c>
      <c r="D34" s="25" t="s">
        <v>120</v>
      </c>
      <c r="E34" s="25" t="s">
        <v>121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25" t="s">
        <v>121</v>
      </c>
      <c r="B35" s="25" t="s">
        <v>121</v>
      </c>
      <c r="C35" s="25" t="s">
        <v>121</v>
      </c>
      <c r="D35" s="25" t="s">
        <v>121</v>
      </c>
      <c r="E35" s="25" t="s">
        <v>120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25" t="s">
        <v>121</v>
      </c>
      <c r="B36" s="25" t="s">
        <v>121</v>
      </c>
      <c r="C36" s="25" t="s">
        <v>121</v>
      </c>
      <c r="D36" s="25" t="s">
        <v>121</v>
      </c>
      <c r="E36" s="25" t="s">
        <v>121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</row>
  </sheetData>
  <mergeCells count="3">
    <mergeCell ref="A1:F1"/>
    <mergeCell ref="A2:F2"/>
    <mergeCell ref="A24:E24"/>
  </mergeCells>
  <conditionalFormatting sqref="F5:F50">
    <cfRule type="containsText" dxfId="17" priority="5" operator="containsText" text="fail">
      <formula>NOT(ISERROR(SEARCH("fail",F5)))</formula>
    </cfRule>
    <cfRule type="containsText" dxfId="16" priority="6" operator="containsText" text="pass">
      <formula>NOT(ISERROR(SEARCH("pass",F5)))</formula>
    </cfRule>
  </conditionalFormatting>
  <conditionalFormatting sqref="F4">
    <cfRule type="containsText" dxfId="15" priority="3" operator="containsText" text="fail">
      <formula>NOT(ISERROR(SEARCH("fail",F4)))</formula>
    </cfRule>
    <cfRule type="containsText" dxfId="14" priority="4" operator="containsText" text="pass">
      <formula>NOT(ISERROR(SEARCH("pass",F4)))</formula>
    </cfRule>
  </conditionalFormatting>
  <conditionalFormatting sqref="F51:F52">
    <cfRule type="containsText" dxfId="13" priority="1" operator="containsText" text="fail">
      <formula>NOT(ISERROR(SEARCH("fail",F51)))</formula>
    </cfRule>
    <cfRule type="containsText" dxfId="12" priority="2" operator="containsText" text="pass">
      <formula>NOT(ISERROR(SEARCH("pass",F51)))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48AD6-F65F-42C5-980A-6C17DAF220AA}">
  <sheetPr codeName="Sheet10"/>
  <dimension ref="A1:AJ54"/>
  <sheetViews>
    <sheetView topLeftCell="A3" zoomScale="83" workbookViewId="0">
      <selection activeCell="S21" sqref="S21"/>
    </sheetView>
  </sheetViews>
  <sheetFormatPr defaultRowHeight="15" x14ac:dyDescent="0.25"/>
  <cols>
    <col min="5" max="5" width="12.140625" bestFit="1" customWidth="1"/>
    <col min="6" max="6" width="10" bestFit="1" customWidth="1"/>
    <col min="19" max="19" width="20.140625" bestFit="1" customWidth="1"/>
    <col min="20" max="20" width="16.7109375" bestFit="1" customWidth="1"/>
    <col min="21" max="22" width="16.7109375" customWidth="1"/>
  </cols>
  <sheetData>
    <row r="1" spans="1:36" x14ac:dyDescent="0.25">
      <c r="A1" s="37" t="s">
        <v>18</v>
      </c>
      <c r="B1" s="37"/>
      <c r="C1" s="37"/>
      <c r="D1" s="37"/>
      <c r="E1" s="37"/>
      <c r="F1" s="3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5">
      <c r="A2" s="37" t="s">
        <v>103</v>
      </c>
      <c r="B2" s="37"/>
      <c r="C2" s="37"/>
      <c r="D2" s="37"/>
      <c r="E2" s="37"/>
      <c r="F2" s="3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111</v>
      </c>
      <c r="T3" s="1" t="s">
        <v>112</v>
      </c>
      <c r="U3" s="1" t="s">
        <v>113</v>
      </c>
      <c r="V3" s="6" t="s">
        <v>114</v>
      </c>
      <c r="W3" s="37" t="s">
        <v>104</v>
      </c>
      <c r="X3" s="37"/>
      <c r="Y3" s="37"/>
      <c r="Z3" s="37"/>
      <c r="AA3" s="37"/>
      <c r="AB3" s="6"/>
      <c r="AC3" s="1"/>
      <c r="AD3" s="1"/>
      <c r="AE3" s="1"/>
      <c r="AF3" s="1"/>
      <c r="AG3" s="1"/>
      <c r="AH3" s="1"/>
      <c r="AI3" s="1"/>
      <c r="AJ3" s="1"/>
    </row>
    <row r="4" spans="1:36" x14ac:dyDescent="0.25">
      <c r="A4" s="6">
        <v>1</v>
      </c>
      <c r="B4" s="13">
        <v>1</v>
      </c>
      <c r="C4" s="13">
        <v>500</v>
      </c>
      <c r="D4" s="13">
        <f>0.01*C4</f>
        <v>5</v>
      </c>
      <c r="E4" s="13">
        <v>5</v>
      </c>
      <c r="F4" s="6" t="s">
        <v>16</v>
      </c>
      <c r="G4" s="13">
        <v>1</v>
      </c>
      <c r="H4" s="13">
        <v>1</v>
      </c>
      <c r="I4" s="13">
        <v>1</v>
      </c>
      <c r="J4" s="13"/>
      <c r="K4" s="13"/>
      <c r="L4" s="13"/>
      <c r="M4" s="13"/>
      <c r="N4" s="13"/>
      <c r="O4" s="13"/>
      <c r="P4" s="13"/>
      <c r="Q4" s="13"/>
      <c r="R4" s="13">
        <v>1</v>
      </c>
      <c r="S4" s="19">
        <f>SUM(G4:R4)/12</f>
        <v>0.33333333333333331</v>
      </c>
      <c r="T4" s="20">
        <f>SUM(K4,M4,O4,Q4,R4,S4)/6</f>
        <v>0.22222222222222221</v>
      </c>
      <c r="U4" s="20">
        <v>0.1</v>
      </c>
      <c r="V4" s="18">
        <f>R4/1</f>
        <v>1</v>
      </c>
      <c r="W4" s="37" t="s">
        <v>105</v>
      </c>
      <c r="X4" s="37"/>
      <c r="Y4" s="37"/>
      <c r="Z4" s="37"/>
      <c r="AA4" s="37"/>
      <c r="AB4" s="6"/>
      <c r="AC4" s="1"/>
      <c r="AD4" s="1"/>
      <c r="AE4" s="1"/>
      <c r="AF4" s="1"/>
      <c r="AG4" s="1"/>
      <c r="AH4" s="1"/>
      <c r="AI4" s="3"/>
      <c r="AJ4" s="4"/>
    </row>
    <row r="5" spans="1:36" x14ac:dyDescent="0.25">
      <c r="A5" s="6">
        <v>2</v>
      </c>
      <c r="B5" s="6">
        <v>1</v>
      </c>
      <c r="C5" s="13">
        <v>1100</v>
      </c>
      <c r="D5" s="13" t="s">
        <v>17</v>
      </c>
      <c r="E5" s="6" t="s">
        <v>17</v>
      </c>
      <c r="F5" s="6" t="s">
        <v>16</v>
      </c>
      <c r="G5" s="6">
        <v>1</v>
      </c>
      <c r="H5" s="6"/>
      <c r="I5" s="6"/>
      <c r="J5" s="6"/>
      <c r="K5" s="6"/>
      <c r="L5" s="6"/>
      <c r="M5" s="6"/>
      <c r="N5" s="6"/>
      <c r="O5" s="6"/>
      <c r="P5" s="6"/>
      <c r="Q5" s="6">
        <v>1</v>
      </c>
      <c r="R5" s="6">
        <v>1</v>
      </c>
      <c r="S5" s="19">
        <f t="shared" ref="S5:S13" si="0">SUM(G5:R5)/12</f>
        <v>0.25</v>
      </c>
      <c r="T5" s="20">
        <f>SUM(K5,M5,O5,Q5,R5,S5)/6</f>
        <v>0.375</v>
      </c>
      <c r="U5" s="20">
        <v>0.1</v>
      </c>
      <c r="V5" s="18">
        <f t="shared" ref="V5:V13" si="1">R5/1</f>
        <v>1</v>
      </c>
      <c r="W5" s="37" t="s">
        <v>106</v>
      </c>
      <c r="X5" s="37"/>
      <c r="Y5" s="37"/>
      <c r="Z5" s="37"/>
      <c r="AA5" s="37"/>
      <c r="AB5" s="6"/>
      <c r="AC5" s="1"/>
      <c r="AD5" s="1"/>
      <c r="AE5" s="1"/>
      <c r="AF5" s="1"/>
      <c r="AG5" s="1"/>
      <c r="AH5" s="1"/>
      <c r="AI5" s="3"/>
      <c r="AJ5" s="4"/>
    </row>
    <row r="6" spans="1:36" x14ac:dyDescent="0.25">
      <c r="A6" s="6">
        <v>3</v>
      </c>
      <c r="B6" s="6">
        <v>4</v>
      </c>
      <c r="C6" s="13">
        <v>500</v>
      </c>
      <c r="D6" s="13">
        <f>0.015*C6</f>
        <v>7.5</v>
      </c>
      <c r="E6" s="6">
        <v>7.5</v>
      </c>
      <c r="F6" s="6" t="s">
        <v>16</v>
      </c>
      <c r="G6" s="6">
        <v>1</v>
      </c>
      <c r="H6" s="6">
        <v>1</v>
      </c>
      <c r="I6" s="6"/>
      <c r="J6" s="6">
        <v>1</v>
      </c>
      <c r="K6" s="6">
        <v>1</v>
      </c>
      <c r="L6" s="6"/>
      <c r="M6" s="6"/>
      <c r="N6" s="6"/>
      <c r="O6" s="6"/>
      <c r="P6" s="6"/>
      <c r="Q6" s="6"/>
      <c r="R6" s="6">
        <v>1</v>
      </c>
      <c r="S6" s="19">
        <f t="shared" si="0"/>
        <v>0.41666666666666669</v>
      </c>
      <c r="T6" s="20">
        <f>SUM(K6,M6,O6,Q6,R6,S6)/6</f>
        <v>0.40277777777777773</v>
      </c>
      <c r="U6" s="20">
        <v>0.1</v>
      </c>
      <c r="V6" s="18">
        <f t="shared" si="1"/>
        <v>1</v>
      </c>
      <c r="W6" s="37" t="s">
        <v>107</v>
      </c>
      <c r="X6" s="37"/>
      <c r="Y6" s="37"/>
      <c r="Z6" s="37"/>
      <c r="AA6" s="37"/>
      <c r="AB6" s="6"/>
      <c r="AC6" s="1"/>
      <c r="AD6" s="1"/>
      <c r="AE6" s="1"/>
      <c r="AF6" s="1"/>
      <c r="AG6" s="1"/>
      <c r="AH6" s="1"/>
      <c r="AI6" s="3"/>
      <c r="AJ6" s="4"/>
    </row>
    <row r="7" spans="1:36" x14ac:dyDescent="0.25">
      <c r="A7" s="6">
        <v>4</v>
      </c>
      <c r="B7" s="6">
        <v>4</v>
      </c>
      <c r="C7" s="13">
        <v>1100</v>
      </c>
      <c r="D7" s="13" t="s">
        <v>17</v>
      </c>
      <c r="E7" s="6" t="s">
        <v>17</v>
      </c>
      <c r="F7" s="6" t="s">
        <v>16</v>
      </c>
      <c r="G7" s="6">
        <v>1</v>
      </c>
      <c r="H7" s="6"/>
      <c r="I7" s="6"/>
      <c r="J7" s="6"/>
      <c r="K7" s="6"/>
      <c r="L7" s="6"/>
      <c r="M7" s="6"/>
      <c r="N7" s="6"/>
      <c r="O7" s="6"/>
      <c r="P7" s="6"/>
      <c r="Q7" s="6">
        <v>1</v>
      </c>
      <c r="R7" s="6">
        <v>1</v>
      </c>
      <c r="S7" s="19">
        <f t="shared" si="0"/>
        <v>0.25</v>
      </c>
      <c r="T7" s="20">
        <f>SUM(K7,M7,O7,Q7,R7,S7)/6</f>
        <v>0.375</v>
      </c>
      <c r="U7" s="20">
        <v>0.1</v>
      </c>
      <c r="V7" s="18">
        <f t="shared" si="1"/>
        <v>1</v>
      </c>
      <c r="W7" s="37" t="s">
        <v>108</v>
      </c>
      <c r="X7" s="37"/>
      <c r="Y7" s="37"/>
      <c r="Z7" s="37"/>
      <c r="AA7" s="37"/>
      <c r="AB7" s="6"/>
      <c r="AC7" s="1"/>
      <c r="AD7" s="1"/>
      <c r="AE7" s="1"/>
      <c r="AF7" s="1"/>
      <c r="AG7" s="1"/>
      <c r="AH7" s="1"/>
      <c r="AI7" s="3"/>
      <c r="AJ7" s="4"/>
    </row>
    <row r="8" spans="1:36" x14ac:dyDescent="0.25">
      <c r="A8" s="6">
        <v>5</v>
      </c>
      <c r="B8" s="6">
        <v>8</v>
      </c>
      <c r="C8" s="13">
        <v>500</v>
      </c>
      <c r="D8" s="13">
        <f>0.02*C8</f>
        <v>10</v>
      </c>
      <c r="E8" s="6">
        <v>10</v>
      </c>
      <c r="F8" s="6" t="s">
        <v>16</v>
      </c>
      <c r="G8" s="6">
        <v>1</v>
      </c>
      <c r="H8" s="6">
        <v>1</v>
      </c>
      <c r="I8" s="6"/>
      <c r="J8" s="6">
        <v>1</v>
      </c>
      <c r="K8" s="6"/>
      <c r="L8" s="6">
        <v>1</v>
      </c>
      <c r="M8" s="6">
        <v>1</v>
      </c>
      <c r="N8" s="6"/>
      <c r="O8" s="6"/>
      <c r="P8" s="6"/>
      <c r="Q8" s="6"/>
      <c r="R8" s="6">
        <v>1</v>
      </c>
      <c r="S8" s="19">
        <f t="shared" si="0"/>
        <v>0.5</v>
      </c>
      <c r="T8" s="20">
        <f t="shared" ref="T8:T13" si="2">SUM(K8,M8,O8,Q8,R8,S8)/6</f>
        <v>0.41666666666666669</v>
      </c>
      <c r="U8" s="20">
        <v>0.1</v>
      </c>
      <c r="V8" s="18">
        <f t="shared" si="1"/>
        <v>1</v>
      </c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3"/>
      <c r="AJ8" s="4"/>
    </row>
    <row r="9" spans="1:36" x14ac:dyDescent="0.25">
      <c r="A9" s="6">
        <v>6</v>
      </c>
      <c r="B9" s="6">
        <v>8</v>
      </c>
      <c r="C9" s="13">
        <v>1100</v>
      </c>
      <c r="D9" s="13" t="s">
        <v>17</v>
      </c>
      <c r="E9" s="6" t="s">
        <v>17</v>
      </c>
      <c r="F9" s="6" t="s">
        <v>16</v>
      </c>
      <c r="G9" s="6">
        <v>1</v>
      </c>
      <c r="H9" s="6"/>
      <c r="I9" s="6"/>
      <c r="J9" s="6"/>
      <c r="K9" s="6"/>
      <c r="L9" s="6"/>
      <c r="M9" s="6"/>
      <c r="N9" s="6"/>
      <c r="O9" s="6"/>
      <c r="P9" s="6"/>
      <c r="Q9" s="6">
        <v>1</v>
      </c>
      <c r="R9" s="6">
        <v>1</v>
      </c>
      <c r="S9" s="19">
        <f t="shared" si="0"/>
        <v>0.25</v>
      </c>
      <c r="T9" s="20">
        <f t="shared" si="2"/>
        <v>0.375</v>
      </c>
      <c r="U9" s="20">
        <v>0.1</v>
      </c>
      <c r="V9" s="18">
        <f t="shared" si="1"/>
        <v>1</v>
      </c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3"/>
      <c r="AJ9" s="4"/>
    </row>
    <row r="10" spans="1:36" x14ac:dyDescent="0.25">
      <c r="A10" s="6">
        <v>7</v>
      </c>
      <c r="B10" s="6">
        <v>15</v>
      </c>
      <c r="C10" s="13">
        <v>500</v>
      </c>
      <c r="D10" s="13">
        <f>0.025*C10</f>
        <v>12.5</v>
      </c>
      <c r="E10" s="6">
        <v>12.5</v>
      </c>
      <c r="F10" s="6" t="s">
        <v>16</v>
      </c>
      <c r="G10" s="6">
        <v>1</v>
      </c>
      <c r="H10" s="6">
        <v>1</v>
      </c>
      <c r="I10" s="6"/>
      <c r="J10" s="6">
        <v>1</v>
      </c>
      <c r="K10" s="6"/>
      <c r="L10" s="6">
        <v>1</v>
      </c>
      <c r="M10" s="6"/>
      <c r="N10" s="6">
        <v>1</v>
      </c>
      <c r="O10" s="6">
        <v>1</v>
      </c>
      <c r="P10" s="6"/>
      <c r="Q10" s="6"/>
      <c r="R10" s="6">
        <v>1</v>
      </c>
      <c r="S10" s="19">
        <f t="shared" si="0"/>
        <v>0.58333333333333337</v>
      </c>
      <c r="T10" s="20">
        <f t="shared" si="2"/>
        <v>0.43055555555555558</v>
      </c>
      <c r="U10" s="20">
        <v>0.1</v>
      </c>
      <c r="V10" s="18">
        <f t="shared" si="1"/>
        <v>1</v>
      </c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3"/>
      <c r="AJ10" s="4"/>
    </row>
    <row r="11" spans="1:36" x14ac:dyDescent="0.25">
      <c r="A11" s="6">
        <v>8</v>
      </c>
      <c r="B11" s="6">
        <v>15</v>
      </c>
      <c r="C11" s="13">
        <v>1100</v>
      </c>
      <c r="D11" s="13" t="s">
        <v>17</v>
      </c>
      <c r="E11" s="6" t="s">
        <v>17</v>
      </c>
      <c r="F11" s="6" t="s">
        <v>16</v>
      </c>
      <c r="G11" s="6">
        <v>1</v>
      </c>
      <c r="H11" s="6"/>
      <c r="I11" s="6"/>
      <c r="J11" s="6"/>
      <c r="K11" s="6"/>
      <c r="L11" s="6"/>
      <c r="M11" s="6"/>
      <c r="N11" s="6"/>
      <c r="O11" s="6"/>
      <c r="P11" s="6"/>
      <c r="Q11" s="6">
        <v>1</v>
      </c>
      <c r="R11" s="6">
        <v>1</v>
      </c>
      <c r="S11" s="19">
        <f t="shared" si="0"/>
        <v>0.25</v>
      </c>
      <c r="T11" s="20">
        <f t="shared" si="2"/>
        <v>0.375</v>
      </c>
      <c r="U11" s="20">
        <v>0.1</v>
      </c>
      <c r="V11" s="18">
        <f t="shared" si="1"/>
        <v>1</v>
      </c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3"/>
      <c r="AJ11" s="4"/>
    </row>
    <row r="12" spans="1:36" x14ac:dyDescent="0.25">
      <c r="A12" s="6">
        <v>9</v>
      </c>
      <c r="B12" s="6">
        <v>25</v>
      </c>
      <c r="C12" s="13">
        <v>1100</v>
      </c>
      <c r="D12" s="13" t="s">
        <v>17</v>
      </c>
      <c r="E12" s="6" t="s">
        <v>17</v>
      </c>
      <c r="F12" s="6" t="s">
        <v>16</v>
      </c>
      <c r="G12" s="6">
        <v>1</v>
      </c>
      <c r="H12" s="6"/>
      <c r="I12" s="6"/>
      <c r="J12" s="6"/>
      <c r="K12" s="6"/>
      <c r="L12" s="6"/>
      <c r="M12" s="6"/>
      <c r="N12" s="6"/>
      <c r="O12" s="6"/>
      <c r="P12" s="6"/>
      <c r="Q12" s="6">
        <v>1</v>
      </c>
      <c r="R12" s="6">
        <v>1</v>
      </c>
      <c r="S12" s="19">
        <f t="shared" si="0"/>
        <v>0.25</v>
      </c>
      <c r="T12" s="20">
        <f t="shared" si="2"/>
        <v>0.375</v>
      </c>
      <c r="U12" s="20">
        <v>0.1</v>
      </c>
      <c r="V12" s="18">
        <f t="shared" si="1"/>
        <v>1</v>
      </c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3"/>
      <c r="AJ12" s="4"/>
    </row>
    <row r="13" spans="1:36" x14ac:dyDescent="0.25">
      <c r="A13" s="6">
        <v>10</v>
      </c>
      <c r="B13" s="6">
        <v>25</v>
      </c>
      <c r="C13" s="13">
        <v>500</v>
      </c>
      <c r="D13" s="13" t="s">
        <v>17</v>
      </c>
      <c r="E13" s="6" t="s">
        <v>17</v>
      </c>
      <c r="F13" s="6" t="s">
        <v>16</v>
      </c>
      <c r="G13" s="6">
        <v>1</v>
      </c>
      <c r="H13" s="6">
        <v>1</v>
      </c>
      <c r="I13" s="6"/>
      <c r="J13" s="6">
        <v>1</v>
      </c>
      <c r="K13" s="6"/>
      <c r="L13" s="6">
        <v>1</v>
      </c>
      <c r="M13" s="6"/>
      <c r="N13" s="6">
        <v>1</v>
      </c>
      <c r="O13" s="6"/>
      <c r="P13" s="6">
        <v>1</v>
      </c>
      <c r="Q13" s="6"/>
      <c r="R13" s="6">
        <v>1</v>
      </c>
      <c r="S13" s="19">
        <f t="shared" si="0"/>
        <v>0.58333333333333337</v>
      </c>
      <c r="T13" s="20">
        <f t="shared" si="2"/>
        <v>0.2638888888888889</v>
      </c>
      <c r="U13" s="20">
        <v>0.1</v>
      </c>
      <c r="V13" s="18">
        <f t="shared" si="1"/>
        <v>1</v>
      </c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3"/>
      <c r="AJ13" s="4"/>
    </row>
    <row r="14" spans="1:36" x14ac:dyDescent="0.25">
      <c r="A14" s="6">
        <v>9999</v>
      </c>
      <c r="B14" s="6"/>
      <c r="C14" s="13"/>
      <c r="D14" s="13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3"/>
      <c r="AJ14" s="4"/>
    </row>
    <row r="15" spans="1:36" x14ac:dyDescent="0.25">
      <c r="A15" s="6"/>
      <c r="B15" s="6"/>
      <c r="C15" s="13"/>
      <c r="D15" s="13"/>
      <c r="E15" s="6"/>
      <c r="F15" s="6" t="s">
        <v>110</v>
      </c>
      <c r="G15" s="6">
        <f>SUM(G4:G13)</f>
        <v>10</v>
      </c>
      <c r="H15" s="6">
        <f t="shared" ref="H15:R15" si="3">SUM(H4:H13)</f>
        <v>5</v>
      </c>
      <c r="I15" s="6">
        <f t="shared" si="3"/>
        <v>1</v>
      </c>
      <c r="J15" s="6">
        <f t="shared" si="3"/>
        <v>4</v>
      </c>
      <c r="K15" s="6">
        <f t="shared" si="3"/>
        <v>1</v>
      </c>
      <c r="L15" s="6">
        <f t="shared" si="3"/>
        <v>3</v>
      </c>
      <c r="M15" s="6">
        <f t="shared" si="3"/>
        <v>1</v>
      </c>
      <c r="N15" s="6">
        <f t="shared" si="3"/>
        <v>2</v>
      </c>
      <c r="O15" s="6">
        <f t="shared" si="3"/>
        <v>1</v>
      </c>
      <c r="P15" s="6">
        <f t="shared" si="3"/>
        <v>1</v>
      </c>
      <c r="Q15" s="6">
        <f t="shared" si="3"/>
        <v>5</v>
      </c>
      <c r="R15" s="6">
        <f t="shared" si="3"/>
        <v>10</v>
      </c>
      <c r="S15" s="20">
        <f>COUNTIF(G15:R15,"&gt;0")/12</f>
        <v>1</v>
      </c>
      <c r="T15" s="20">
        <f>SUM(COUNTIF(J15,"&gt;0"),COUNTIF(L15,"&gt;0"),COUNTIF(N15,"&gt;0"),COUNTIF(P15,"&gt;0"),COUNTIF(Q15,"&gt;0"),COUNTIF(R15,"&gt;0"))/6</f>
        <v>1</v>
      </c>
      <c r="U15" s="20">
        <f>SUM(U4:U13)</f>
        <v>0.99999999999999989</v>
      </c>
      <c r="V15" s="18">
        <f>COUNTIF(R15,"&gt;0")/1</f>
        <v>1</v>
      </c>
      <c r="X15" s="20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3"/>
      <c r="AJ15" s="4"/>
    </row>
    <row r="16" spans="1:36" x14ac:dyDescent="0.25">
      <c r="A16" s="33" t="s">
        <v>133</v>
      </c>
      <c r="B16" s="33"/>
      <c r="C16" s="33"/>
      <c r="D16" s="33"/>
      <c r="E16" s="33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3"/>
      <c r="AJ16" s="4"/>
    </row>
    <row r="17" spans="1:36" x14ac:dyDescent="0.25">
      <c r="A17" s="1" t="s">
        <v>122</v>
      </c>
      <c r="B17" s="1" t="s">
        <v>123</v>
      </c>
      <c r="C17" s="1" t="s">
        <v>124</v>
      </c>
      <c r="D17" s="1" t="s">
        <v>125</v>
      </c>
      <c r="E17" s="15" t="s">
        <v>126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3"/>
      <c r="AJ17" s="4"/>
    </row>
    <row r="18" spans="1:36" x14ac:dyDescent="0.25">
      <c r="A18" s="1" t="s">
        <v>115</v>
      </c>
      <c r="B18" s="1" t="s">
        <v>116</v>
      </c>
      <c r="C18" s="1" t="s">
        <v>117</v>
      </c>
      <c r="D18" s="1" t="s">
        <v>118</v>
      </c>
      <c r="E18" s="15" t="s">
        <v>119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3"/>
      <c r="AJ18" s="4"/>
    </row>
    <row r="19" spans="1:36" x14ac:dyDescent="0.25">
      <c r="A19" s="25" t="s">
        <v>120</v>
      </c>
      <c r="B19" s="25" t="s">
        <v>121</v>
      </c>
      <c r="C19" s="25" t="s">
        <v>121</v>
      </c>
      <c r="D19" s="25" t="s">
        <v>121</v>
      </c>
      <c r="E19" s="25" t="s">
        <v>120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3"/>
      <c r="AJ19" s="4"/>
    </row>
    <row r="20" spans="1:36" x14ac:dyDescent="0.25">
      <c r="A20" s="25" t="s">
        <v>120</v>
      </c>
      <c r="B20" s="25" t="s">
        <v>121</v>
      </c>
      <c r="C20" s="25" t="s">
        <v>121</v>
      </c>
      <c r="D20" s="25" t="s">
        <v>121</v>
      </c>
      <c r="E20" s="25" t="s">
        <v>121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3"/>
      <c r="AJ20" s="4"/>
    </row>
    <row r="21" spans="1:36" x14ac:dyDescent="0.25">
      <c r="A21" s="25" t="s">
        <v>121</v>
      </c>
      <c r="B21" s="25" t="s">
        <v>120</v>
      </c>
      <c r="C21" s="25" t="s">
        <v>121</v>
      </c>
      <c r="D21" s="25" t="s">
        <v>121</v>
      </c>
      <c r="E21" s="25" t="s">
        <v>120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3"/>
      <c r="AJ21" s="4"/>
    </row>
    <row r="22" spans="1:36" x14ac:dyDescent="0.25">
      <c r="A22" s="25" t="s">
        <v>121</v>
      </c>
      <c r="B22" s="25" t="s">
        <v>120</v>
      </c>
      <c r="C22" s="25" t="s">
        <v>121</v>
      </c>
      <c r="D22" s="25" t="s">
        <v>121</v>
      </c>
      <c r="E22" s="25" t="s">
        <v>121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3"/>
      <c r="AJ22" s="4"/>
    </row>
    <row r="23" spans="1:36" x14ac:dyDescent="0.25">
      <c r="A23" s="25" t="s">
        <v>121</v>
      </c>
      <c r="B23" s="25" t="s">
        <v>121</v>
      </c>
      <c r="C23" s="25" t="s">
        <v>120</v>
      </c>
      <c r="D23" s="25" t="s">
        <v>121</v>
      </c>
      <c r="E23" s="25" t="s">
        <v>120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3"/>
      <c r="AJ23" s="4"/>
    </row>
    <row r="24" spans="1:36" x14ac:dyDescent="0.25">
      <c r="A24" s="25" t="s">
        <v>121</v>
      </c>
      <c r="B24" s="25" t="s">
        <v>121</v>
      </c>
      <c r="C24" s="25" t="s">
        <v>120</v>
      </c>
      <c r="D24" s="25" t="s">
        <v>121</v>
      </c>
      <c r="E24" s="25" t="s">
        <v>121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3"/>
      <c r="AJ24" s="4"/>
    </row>
    <row r="25" spans="1:36" x14ac:dyDescent="0.25">
      <c r="A25" s="25" t="s">
        <v>121</v>
      </c>
      <c r="B25" s="25" t="s">
        <v>121</v>
      </c>
      <c r="C25" s="25" t="s">
        <v>121</v>
      </c>
      <c r="D25" s="25" t="s">
        <v>120</v>
      </c>
      <c r="E25" s="25" t="s">
        <v>120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3"/>
      <c r="AJ25" s="4"/>
    </row>
    <row r="26" spans="1:36" x14ac:dyDescent="0.25">
      <c r="A26" s="25" t="s">
        <v>121</v>
      </c>
      <c r="B26" s="25" t="s">
        <v>121</v>
      </c>
      <c r="C26" s="25" t="s">
        <v>121</v>
      </c>
      <c r="D26" s="25" t="s">
        <v>120</v>
      </c>
      <c r="E26" s="25" t="s">
        <v>121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3"/>
      <c r="AJ26" s="4"/>
    </row>
    <row r="27" spans="1:36" x14ac:dyDescent="0.25">
      <c r="A27" s="25" t="s">
        <v>121</v>
      </c>
      <c r="B27" s="25" t="s">
        <v>121</v>
      </c>
      <c r="C27" s="25" t="s">
        <v>121</v>
      </c>
      <c r="D27" s="25" t="s">
        <v>121</v>
      </c>
      <c r="E27" s="25" t="s">
        <v>120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3"/>
      <c r="AJ27" s="4"/>
    </row>
    <row r="28" spans="1:36" x14ac:dyDescent="0.25">
      <c r="A28" s="25" t="s">
        <v>121</v>
      </c>
      <c r="B28" s="25" t="s">
        <v>121</v>
      </c>
      <c r="C28" s="25" t="s">
        <v>121</v>
      </c>
      <c r="D28" s="25" t="s">
        <v>121</v>
      </c>
      <c r="E28" s="25" t="s">
        <v>121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3"/>
      <c r="AJ28" s="4"/>
    </row>
    <row r="29" spans="1:36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3"/>
      <c r="AJ29" s="4"/>
    </row>
    <row r="30" spans="1:36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3"/>
      <c r="AJ30" s="4"/>
    </row>
    <row r="31" spans="1:36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3"/>
      <c r="AJ31" s="4"/>
    </row>
    <row r="32" spans="1:36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3"/>
      <c r="AJ32" s="4"/>
    </row>
    <row r="33" spans="1:36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3"/>
      <c r="AJ33" s="4"/>
    </row>
    <row r="34" spans="1:36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3"/>
      <c r="AJ34" s="4"/>
    </row>
    <row r="35" spans="1:36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3"/>
      <c r="AJ35" s="4"/>
    </row>
    <row r="36" spans="1:36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3"/>
      <c r="AJ36" s="4"/>
    </row>
    <row r="37" spans="1:36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3"/>
      <c r="AJ37" s="4"/>
    </row>
    <row r="38" spans="1:36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3"/>
      <c r="AJ38" s="4"/>
    </row>
    <row r="39" spans="1:36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3"/>
      <c r="AJ39" s="4"/>
    </row>
    <row r="40" spans="1:36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3"/>
      <c r="AJ40" s="4"/>
    </row>
    <row r="41" spans="1:36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3"/>
      <c r="AJ41" s="4"/>
    </row>
    <row r="42" spans="1:36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3"/>
      <c r="AJ42" s="4"/>
    </row>
    <row r="43" spans="1:36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3"/>
      <c r="AJ43" s="4"/>
    </row>
    <row r="44" spans="1:36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3"/>
      <c r="AJ44" s="4"/>
    </row>
    <row r="45" spans="1:36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3"/>
      <c r="AJ45" s="4"/>
    </row>
    <row r="46" spans="1:36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3"/>
      <c r="AJ46" s="4"/>
    </row>
    <row r="47" spans="1:36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3"/>
      <c r="AJ47" s="4"/>
    </row>
    <row r="48" spans="1:36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3"/>
      <c r="AJ48" s="4"/>
    </row>
    <row r="49" spans="1:36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3"/>
      <c r="AJ49" s="4"/>
    </row>
    <row r="50" spans="1:36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3"/>
      <c r="AJ50" s="4"/>
    </row>
    <row r="51" spans="1:36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3"/>
      <c r="AJ51" s="1"/>
    </row>
    <row r="52" spans="1:36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6" x14ac:dyDescent="0.25">
      <c r="C54" s="14"/>
      <c r="D54" s="14"/>
    </row>
  </sheetData>
  <mergeCells count="8">
    <mergeCell ref="A16:E16"/>
    <mergeCell ref="W7:AA7"/>
    <mergeCell ref="A1:F1"/>
    <mergeCell ref="A2:F2"/>
    <mergeCell ref="W3:AA3"/>
    <mergeCell ref="W4:AA4"/>
    <mergeCell ref="W5:AA5"/>
    <mergeCell ref="W6:AA6"/>
  </mergeCells>
  <conditionalFormatting sqref="F5:F50">
    <cfRule type="containsText" dxfId="11" priority="5" operator="containsText" text="fail">
      <formula>NOT(ISERROR(SEARCH("fail",F5)))</formula>
    </cfRule>
    <cfRule type="containsText" dxfId="10" priority="6" operator="containsText" text="pass">
      <formula>NOT(ISERROR(SEARCH("pass",F5)))</formula>
    </cfRule>
  </conditionalFormatting>
  <conditionalFormatting sqref="F4">
    <cfRule type="containsText" dxfId="9" priority="3" operator="containsText" text="fail">
      <formula>NOT(ISERROR(SEARCH("fail",F4)))</formula>
    </cfRule>
    <cfRule type="containsText" dxfId="8" priority="4" operator="containsText" text="pass">
      <formula>NOT(ISERROR(SEARCH("pass",F4)))</formula>
    </cfRule>
  </conditionalFormatting>
  <conditionalFormatting sqref="F51:F52">
    <cfRule type="containsText" dxfId="7" priority="1" operator="containsText" text="fail">
      <formula>NOT(ISERROR(SEARCH("fail",F51)))</formula>
    </cfRule>
    <cfRule type="containsText" dxfId="6" priority="2" operator="containsText" text="pass">
      <formula>NOT(ISERROR(SEARCH("pass",F51)))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10242" r:id="rId3" name="CommandButton2"/>
      </mc:Fallback>
    </mc:AlternateContent>
    <mc:AlternateContent xmlns:mc="http://schemas.openxmlformats.org/markup-compatibility/2006">
      <mc:Choice Requires="x14">
        <control shapeId="10241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241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0049E-9C82-420D-B4B2-91FB503C3A8C}">
  <sheetPr codeName="Sheet11"/>
  <dimension ref="A1:AG54"/>
  <sheetViews>
    <sheetView tabSelected="1" topLeftCell="O2" zoomScale="83" workbookViewId="0">
      <selection activeCell="S15" sqref="S15"/>
    </sheetView>
  </sheetViews>
  <sheetFormatPr defaultRowHeight="15" x14ac:dyDescent="0.25"/>
  <cols>
    <col min="5" max="5" width="10.85546875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3" x14ac:dyDescent="0.25">
      <c r="A1" s="37" t="s">
        <v>18</v>
      </c>
      <c r="B1" s="37"/>
      <c r="C1" s="37"/>
      <c r="D1" s="37"/>
      <c r="E1" s="37"/>
      <c r="F1" s="3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37" t="s">
        <v>109</v>
      </c>
      <c r="B2" s="37"/>
      <c r="C2" s="37"/>
      <c r="D2" s="37"/>
      <c r="E2" s="37"/>
      <c r="F2" s="3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6" t="s">
        <v>111</v>
      </c>
      <c r="T3" s="1" t="s">
        <v>112</v>
      </c>
      <c r="U3" s="6" t="s">
        <v>113</v>
      </c>
      <c r="V3" s="6" t="s">
        <v>114</v>
      </c>
      <c r="W3" s="16"/>
      <c r="X3" s="16"/>
      <c r="Y3" s="6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6">
        <v>1</v>
      </c>
      <c r="B4" s="13">
        <v>1</v>
      </c>
      <c r="C4" s="13">
        <v>500</v>
      </c>
      <c r="D4" s="13">
        <f>0.01*C4</f>
        <v>5</v>
      </c>
      <c r="E4" s="13">
        <v>5</v>
      </c>
      <c r="F4" s="6" t="s">
        <v>16</v>
      </c>
      <c r="G4" s="13">
        <v>1</v>
      </c>
      <c r="H4" s="13">
        <v>1</v>
      </c>
      <c r="I4" s="13">
        <v>1</v>
      </c>
      <c r="J4" s="13"/>
      <c r="K4" s="13"/>
      <c r="L4" s="13"/>
      <c r="M4" s="13"/>
      <c r="N4" s="13"/>
      <c r="O4" s="13"/>
      <c r="P4" s="13"/>
      <c r="Q4" s="13"/>
      <c r="R4" s="13">
        <v>1</v>
      </c>
      <c r="S4" s="19">
        <f>SUM(G4:R4)/12</f>
        <v>0.33333333333333331</v>
      </c>
      <c r="T4" s="20">
        <f>SUM(K4,M4,O4,Q4,R4,S4)/6</f>
        <v>0.22222222222222221</v>
      </c>
      <c r="U4" s="29">
        <v>0.1</v>
      </c>
      <c r="V4" s="18">
        <f>R4/1</f>
        <v>1</v>
      </c>
      <c r="W4" s="16"/>
      <c r="X4" s="16"/>
      <c r="Y4" s="6"/>
      <c r="Z4" s="1"/>
      <c r="AA4" s="1"/>
      <c r="AB4" s="1"/>
      <c r="AC4" s="1"/>
      <c r="AD4" s="1"/>
      <c r="AE4" s="1"/>
      <c r="AF4" s="3"/>
      <c r="AG4" s="4"/>
    </row>
    <row r="5" spans="1:33" x14ac:dyDescent="0.25">
      <c r="A5" s="6">
        <v>2</v>
      </c>
      <c r="B5" s="6">
        <v>4</v>
      </c>
      <c r="C5" s="13">
        <v>500</v>
      </c>
      <c r="D5" s="13">
        <f>0.015*C5</f>
        <v>7.5</v>
      </c>
      <c r="E5" s="6">
        <v>7.5</v>
      </c>
      <c r="F5" s="6" t="s">
        <v>16</v>
      </c>
      <c r="G5" s="6">
        <v>1</v>
      </c>
      <c r="H5" s="6">
        <v>1</v>
      </c>
      <c r="I5" s="6"/>
      <c r="J5" s="6">
        <v>1</v>
      </c>
      <c r="K5" s="6">
        <v>1</v>
      </c>
      <c r="L5" s="6"/>
      <c r="M5" s="6"/>
      <c r="N5" s="6"/>
      <c r="O5" s="6"/>
      <c r="P5" s="6"/>
      <c r="Q5" s="6"/>
      <c r="R5" s="6">
        <v>1</v>
      </c>
      <c r="S5" s="19">
        <f t="shared" ref="S5:S11" si="0">SUM(G5:R5)/12</f>
        <v>0.41666666666666669</v>
      </c>
      <c r="T5" s="20">
        <f>SUM(K5,M5,O5,Q5,R5,S5)/6</f>
        <v>0.40277777777777773</v>
      </c>
      <c r="U5" s="29">
        <v>0.1</v>
      </c>
      <c r="V5" s="18">
        <f t="shared" ref="V5:V11" si="1">R5/1</f>
        <v>1</v>
      </c>
      <c r="W5" s="16"/>
      <c r="X5" s="16"/>
      <c r="Y5" s="6"/>
      <c r="Z5" s="1"/>
      <c r="AA5" s="1"/>
      <c r="AB5" s="1"/>
      <c r="AC5" s="1"/>
      <c r="AD5" s="1"/>
      <c r="AE5" s="1"/>
      <c r="AF5" s="3"/>
      <c r="AG5" s="4"/>
    </row>
    <row r="6" spans="1:33" x14ac:dyDescent="0.25">
      <c r="A6" s="6">
        <v>3</v>
      </c>
      <c r="B6" s="6">
        <v>8</v>
      </c>
      <c r="C6" s="13">
        <v>500</v>
      </c>
      <c r="D6" s="13">
        <f>0.02*C6</f>
        <v>10</v>
      </c>
      <c r="E6" s="6">
        <v>10</v>
      </c>
      <c r="F6" s="6" t="s">
        <v>16</v>
      </c>
      <c r="G6" s="6">
        <v>1</v>
      </c>
      <c r="H6" s="6">
        <v>1</v>
      </c>
      <c r="I6" s="6"/>
      <c r="J6" s="6">
        <v>1</v>
      </c>
      <c r="K6" s="6"/>
      <c r="L6" s="6">
        <v>1</v>
      </c>
      <c r="M6" s="6">
        <v>1</v>
      </c>
      <c r="N6" s="6"/>
      <c r="O6" s="6"/>
      <c r="P6" s="6"/>
      <c r="Q6" s="6"/>
      <c r="R6" s="6">
        <v>1</v>
      </c>
      <c r="S6" s="19">
        <f t="shared" si="0"/>
        <v>0.5</v>
      </c>
      <c r="T6" s="20">
        <f>SUM(K6,M6,O6,Q6,R6,S6)/6</f>
        <v>0.41666666666666669</v>
      </c>
      <c r="U6" s="29">
        <v>0.1</v>
      </c>
      <c r="V6" s="18">
        <f t="shared" si="1"/>
        <v>1</v>
      </c>
      <c r="W6" s="16"/>
      <c r="X6" s="16"/>
      <c r="Y6" s="6"/>
      <c r="Z6" s="1"/>
      <c r="AA6" s="1"/>
      <c r="AB6" s="1"/>
      <c r="AC6" s="1"/>
      <c r="AD6" s="1"/>
      <c r="AE6" s="1"/>
      <c r="AF6" s="3"/>
      <c r="AG6" s="4"/>
    </row>
    <row r="7" spans="1:33" x14ac:dyDescent="0.25">
      <c r="A7" s="6">
        <v>4</v>
      </c>
      <c r="B7" s="6">
        <v>15</v>
      </c>
      <c r="C7" s="13">
        <v>500</v>
      </c>
      <c r="D7" s="13">
        <f>0.025*C7</f>
        <v>12.5</v>
      </c>
      <c r="E7" s="6">
        <v>12.5</v>
      </c>
      <c r="F7" s="6" t="s">
        <v>16</v>
      </c>
      <c r="G7" s="6">
        <v>1</v>
      </c>
      <c r="H7" s="6">
        <v>1</v>
      </c>
      <c r="I7" s="6"/>
      <c r="J7" s="6">
        <v>1</v>
      </c>
      <c r="K7" s="6"/>
      <c r="L7" s="6">
        <v>1</v>
      </c>
      <c r="M7" s="6"/>
      <c r="N7" s="6">
        <v>1</v>
      </c>
      <c r="O7" s="6">
        <v>1</v>
      </c>
      <c r="P7" s="6"/>
      <c r="Q7" s="6"/>
      <c r="R7" s="6">
        <v>1</v>
      </c>
      <c r="S7" s="19">
        <f t="shared" si="0"/>
        <v>0.58333333333333337</v>
      </c>
      <c r="T7" s="20">
        <f>SUM(K7,M7,O7,Q7,R7,S7)/6</f>
        <v>0.43055555555555558</v>
      </c>
      <c r="U7" s="29">
        <v>0.1</v>
      </c>
      <c r="V7" s="18">
        <f t="shared" si="1"/>
        <v>1</v>
      </c>
      <c r="W7" s="16"/>
      <c r="X7" s="16"/>
      <c r="Y7" s="6"/>
      <c r="Z7" s="1"/>
      <c r="AA7" s="1"/>
      <c r="AB7" s="1"/>
      <c r="AC7" s="1"/>
      <c r="AD7" s="1"/>
      <c r="AE7" s="1"/>
      <c r="AF7" s="3"/>
      <c r="AG7" s="4"/>
    </row>
    <row r="8" spans="1:33" x14ac:dyDescent="0.25">
      <c r="A8" s="6">
        <v>5</v>
      </c>
      <c r="B8" s="6">
        <v>-1</v>
      </c>
      <c r="C8" s="13">
        <v>500</v>
      </c>
      <c r="D8" s="13" t="s">
        <v>17</v>
      </c>
      <c r="E8" s="6" t="s">
        <v>17</v>
      </c>
      <c r="F8" s="6" t="s">
        <v>16</v>
      </c>
      <c r="G8" s="6">
        <v>1</v>
      </c>
      <c r="H8" s="6">
        <v>1</v>
      </c>
      <c r="I8" s="6"/>
      <c r="J8" s="6">
        <v>1</v>
      </c>
      <c r="K8" s="6"/>
      <c r="L8" s="6">
        <v>1</v>
      </c>
      <c r="M8" s="6"/>
      <c r="N8" s="6">
        <v>1</v>
      </c>
      <c r="O8" s="6"/>
      <c r="P8" s="6">
        <v>1</v>
      </c>
      <c r="Q8" s="6"/>
      <c r="R8" s="6">
        <v>1</v>
      </c>
      <c r="S8" s="19">
        <f t="shared" si="0"/>
        <v>0.58333333333333337</v>
      </c>
      <c r="T8" s="20">
        <f t="shared" ref="T8:T11" si="2">SUM(K8,M8,O8,Q8,R8,S8)/6</f>
        <v>0.2638888888888889</v>
      </c>
      <c r="U8" s="39">
        <v>0.1</v>
      </c>
      <c r="V8" s="18">
        <f t="shared" si="1"/>
        <v>1</v>
      </c>
      <c r="W8" s="1"/>
      <c r="X8" s="1"/>
      <c r="Y8" s="1"/>
      <c r="Z8" s="1"/>
      <c r="AA8" s="1"/>
      <c r="AB8" s="1"/>
      <c r="AC8" s="1"/>
      <c r="AD8" s="1"/>
      <c r="AE8" s="1"/>
      <c r="AF8" s="3"/>
      <c r="AG8" s="4"/>
    </row>
    <row r="9" spans="1:33" x14ac:dyDescent="0.25">
      <c r="A9" s="6">
        <v>6</v>
      </c>
      <c r="B9" s="6">
        <v>21</v>
      </c>
      <c r="C9" s="13">
        <v>500</v>
      </c>
      <c r="D9" s="13" t="s">
        <v>17</v>
      </c>
      <c r="E9" s="6" t="s">
        <v>17</v>
      </c>
      <c r="F9" s="6" t="s">
        <v>16</v>
      </c>
      <c r="G9" s="6">
        <v>1</v>
      </c>
      <c r="H9" s="6">
        <v>1</v>
      </c>
      <c r="I9" s="6"/>
      <c r="J9" s="6">
        <v>1</v>
      </c>
      <c r="K9" s="6"/>
      <c r="L9" s="6">
        <v>1</v>
      </c>
      <c r="M9" s="6"/>
      <c r="N9" s="6">
        <v>1</v>
      </c>
      <c r="O9" s="6"/>
      <c r="P9" s="6">
        <v>1</v>
      </c>
      <c r="Q9" s="6"/>
      <c r="R9" s="6">
        <v>1</v>
      </c>
      <c r="S9" s="19">
        <f t="shared" si="0"/>
        <v>0.58333333333333337</v>
      </c>
      <c r="T9" s="20">
        <f t="shared" si="2"/>
        <v>0.2638888888888889</v>
      </c>
      <c r="U9" s="40"/>
      <c r="V9" s="18">
        <f t="shared" si="1"/>
        <v>1</v>
      </c>
      <c r="W9" s="1"/>
      <c r="X9" s="1"/>
      <c r="Y9" s="1"/>
      <c r="Z9" s="1"/>
      <c r="AA9" s="1"/>
      <c r="AB9" s="1"/>
      <c r="AC9" s="1"/>
      <c r="AD9" s="1"/>
      <c r="AE9" s="1"/>
      <c r="AF9" s="3"/>
      <c r="AG9" s="4"/>
    </row>
    <row r="10" spans="1:33" x14ac:dyDescent="0.25">
      <c r="A10" s="6">
        <v>7</v>
      </c>
      <c r="B10" s="6">
        <v>8</v>
      </c>
      <c r="C10" s="13">
        <v>4</v>
      </c>
      <c r="D10" s="13" t="s">
        <v>17</v>
      </c>
      <c r="E10" s="6" t="s">
        <v>17</v>
      </c>
      <c r="F10" s="6" t="s">
        <v>16</v>
      </c>
      <c r="G10" s="6">
        <v>1</v>
      </c>
      <c r="H10" s="6"/>
      <c r="I10" s="6"/>
      <c r="J10" s="6"/>
      <c r="K10" s="6"/>
      <c r="L10" s="6"/>
      <c r="M10" s="6"/>
      <c r="N10" s="6"/>
      <c r="O10" s="6"/>
      <c r="P10" s="6"/>
      <c r="Q10" s="6">
        <v>1</v>
      </c>
      <c r="R10" s="6">
        <v>1</v>
      </c>
      <c r="S10" s="19">
        <f t="shared" si="0"/>
        <v>0.25</v>
      </c>
      <c r="T10" s="20">
        <f t="shared" si="2"/>
        <v>0.375</v>
      </c>
      <c r="U10" s="39">
        <v>0.1</v>
      </c>
      <c r="V10" s="18">
        <f t="shared" si="1"/>
        <v>1</v>
      </c>
      <c r="W10" s="1"/>
      <c r="X10" s="1"/>
      <c r="Y10" s="1"/>
      <c r="Z10" s="1"/>
      <c r="AA10" s="1"/>
      <c r="AB10" s="1"/>
      <c r="AC10" s="1"/>
      <c r="AD10" s="1"/>
      <c r="AE10" s="1"/>
      <c r="AF10" s="3"/>
      <c r="AG10" s="4"/>
    </row>
    <row r="11" spans="1:33" x14ac:dyDescent="0.25">
      <c r="A11" s="6">
        <v>8</v>
      </c>
      <c r="B11" s="6">
        <v>8</v>
      </c>
      <c r="C11" s="13">
        <v>1001</v>
      </c>
      <c r="D11" s="13" t="s">
        <v>17</v>
      </c>
      <c r="E11" s="6" t="s">
        <v>17</v>
      </c>
      <c r="F11" s="6" t="s">
        <v>16</v>
      </c>
      <c r="G11" s="6">
        <v>1</v>
      </c>
      <c r="H11" s="6"/>
      <c r="I11" s="6"/>
      <c r="J11" s="6"/>
      <c r="K11" s="6"/>
      <c r="L11" s="6"/>
      <c r="M11" s="6"/>
      <c r="N11" s="6"/>
      <c r="O11" s="6"/>
      <c r="P11" s="6"/>
      <c r="Q11" s="6">
        <v>1</v>
      </c>
      <c r="R11" s="6">
        <v>1</v>
      </c>
      <c r="S11" s="19">
        <f t="shared" si="0"/>
        <v>0.25</v>
      </c>
      <c r="T11" s="20">
        <f t="shared" si="2"/>
        <v>0.375</v>
      </c>
      <c r="U11" s="40"/>
      <c r="V11" s="18">
        <f t="shared" si="1"/>
        <v>1</v>
      </c>
      <c r="W11" s="1"/>
      <c r="X11" s="1"/>
      <c r="Y11" s="1"/>
      <c r="Z11" s="1"/>
      <c r="AA11" s="1"/>
      <c r="AB11" s="1"/>
      <c r="AC11" s="1"/>
      <c r="AD11" s="1"/>
      <c r="AE11" s="1"/>
      <c r="AF11" s="3"/>
      <c r="AG11" s="4"/>
    </row>
    <row r="12" spans="1:33" x14ac:dyDescent="0.25">
      <c r="A12" s="6">
        <v>9999</v>
      </c>
      <c r="B12" s="6"/>
      <c r="C12" s="13"/>
      <c r="D12" s="13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T12" s="20"/>
      <c r="U12" s="1"/>
      <c r="V12" s="18"/>
      <c r="W12" s="1"/>
      <c r="X12" s="1"/>
      <c r="Y12" s="1"/>
      <c r="Z12" s="1"/>
      <c r="AA12" s="1"/>
      <c r="AB12" s="1"/>
      <c r="AC12" s="1"/>
      <c r="AD12" s="1"/>
      <c r="AE12" s="1"/>
      <c r="AF12" s="3"/>
      <c r="AG12" s="4"/>
    </row>
    <row r="13" spans="1:33" x14ac:dyDescent="0.25">
      <c r="A13" s="6"/>
      <c r="B13" s="6"/>
      <c r="C13" s="13"/>
      <c r="D13" s="13"/>
      <c r="E13" s="6"/>
      <c r="F13" s="6" t="s">
        <v>110</v>
      </c>
      <c r="G13" s="6">
        <f>SUM(G4:G11)</f>
        <v>8</v>
      </c>
      <c r="H13" s="6">
        <f t="shared" ref="H13:R13" si="3">SUM(H4:H11)</f>
        <v>6</v>
      </c>
      <c r="I13" s="6">
        <f t="shared" si="3"/>
        <v>1</v>
      </c>
      <c r="J13" s="6">
        <f t="shared" si="3"/>
        <v>5</v>
      </c>
      <c r="K13" s="6">
        <f t="shared" si="3"/>
        <v>1</v>
      </c>
      <c r="L13" s="6">
        <f t="shared" si="3"/>
        <v>4</v>
      </c>
      <c r="M13" s="6">
        <f t="shared" si="3"/>
        <v>1</v>
      </c>
      <c r="N13" s="6">
        <f t="shared" si="3"/>
        <v>3</v>
      </c>
      <c r="O13" s="6">
        <f t="shared" si="3"/>
        <v>1</v>
      </c>
      <c r="P13" s="6">
        <f t="shared" si="3"/>
        <v>2</v>
      </c>
      <c r="Q13" s="6">
        <f t="shared" si="3"/>
        <v>2</v>
      </c>
      <c r="R13" s="6">
        <f t="shared" si="3"/>
        <v>8</v>
      </c>
      <c r="S13" s="18">
        <f>COUNTIF(G13:R13,"&gt;0")/12</f>
        <v>1</v>
      </c>
      <c r="T13" s="20">
        <f>SUM(COUNTIF(J13,"&gt;0"),COUNTIF(L13,"&gt;0"),COUNTIF(N13,"&gt;0"),COUNTIF(P13,"&gt;0"),COUNTIF(Q13,"&gt;0"),COUNTIF(R13,"&gt;0"))/6</f>
        <v>1</v>
      </c>
      <c r="U13" s="28">
        <f>SUM(U4:U11)</f>
        <v>0.6</v>
      </c>
      <c r="V13" s="18">
        <f>COUNTIF(R13,"&gt;0")/1</f>
        <v>1</v>
      </c>
      <c r="W13" s="1"/>
      <c r="X13" s="1"/>
      <c r="Y13" s="1"/>
      <c r="Z13" s="1"/>
      <c r="AA13" s="1"/>
      <c r="AB13" s="1"/>
      <c r="AC13" s="1"/>
      <c r="AD13" s="1"/>
      <c r="AE13" s="1"/>
      <c r="AF13" s="3"/>
      <c r="AG13" s="4"/>
    </row>
    <row r="14" spans="1:33" x14ac:dyDescent="0.25">
      <c r="A14" s="33" t="s">
        <v>133</v>
      </c>
      <c r="B14" s="33"/>
      <c r="C14" s="33"/>
      <c r="D14" s="33"/>
      <c r="E14" s="33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3"/>
      <c r="AG14" s="4"/>
    </row>
    <row r="15" spans="1:33" x14ac:dyDescent="0.25">
      <c r="A15" s="1" t="s">
        <v>122</v>
      </c>
      <c r="B15" s="1" t="s">
        <v>123</v>
      </c>
      <c r="C15" s="1" t="s">
        <v>124</v>
      </c>
      <c r="D15" s="1" t="s">
        <v>125</v>
      </c>
      <c r="E15" s="15" t="s">
        <v>126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3"/>
      <c r="AG15" s="4"/>
    </row>
    <row r="16" spans="1:33" x14ac:dyDescent="0.25">
      <c r="A16" s="1" t="s">
        <v>115</v>
      </c>
      <c r="B16" s="1" t="s">
        <v>116</v>
      </c>
      <c r="C16" s="1" t="s">
        <v>117</v>
      </c>
      <c r="D16" s="1" t="s">
        <v>118</v>
      </c>
      <c r="E16" s="15" t="s">
        <v>119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3"/>
      <c r="AG16" s="4"/>
    </row>
    <row r="17" spans="1:33" x14ac:dyDescent="0.25">
      <c r="A17" s="25" t="s">
        <v>120</v>
      </c>
      <c r="B17" s="25" t="s">
        <v>121</v>
      </c>
      <c r="C17" s="25" t="s">
        <v>121</v>
      </c>
      <c r="D17" s="25" t="s">
        <v>121</v>
      </c>
      <c r="E17" s="25" t="s">
        <v>120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3"/>
      <c r="AG17" s="4"/>
    </row>
    <row r="18" spans="1:33" x14ac:dyDescent="0.25">
      <c r="A18" s="21" t="s">
        <v>120</v>
      </c>
      <c r="B18" s="21" t="s">
        <v>121</v>
      </c>
      <c r="C18" s="21" t="s">
        <v>121</v>
      </c>
      <c r="D18" s="21" t="s">
        <v>121</v>
      </c>
      <c r="E18" s="21" t="s">
        <v>121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3"/>
      <c r="AG18" s="4"/>
    </row>
    <row r="19" spans="1:33" x14ac:dyDescent="0.25">
      <c r="A19" s="25" t="s">
        <v>121</v>
      </c>
      <c r="B19" s="25" t="s">
        <v>120</v>
      </c>
      <c r="C19" s="25" t="s">
        <v>121</v>
      </c>
      <c r="D19" s="25" t="s">
        <v>121</v>
      </c>
      <c r="E19" s="25" t="s">
        <v>120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3"/>
      <c r="AG19" s="4"/>
    </row>
    <row r="20" spans="1:33" x14ac:dyDescent="0.25">
      <c r="A20" s="21" t="s">
        <v>121</v>
      </c>
      <c r="B20" s="21" t="s">
        <v>120</v>
      </c>
      <c r="C20" s="21" t="s">
        <v>121</v>
      </c>
      <c r="D20" s="21" t="s">
        <v>121</v>
      </c>
      <c r="E20" s="21" t="s">
        <v>121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3"/>
      <c r="AG20" s="4"/>
    </row>
    <row r="21" spans="1:33" x14ac:dyDescent="0.25">
      <c r="A21" s="25" t="s">
        <v>121</v>
      </c>
      <c r="B21" s="25" t="s">
        <v>121</v>
      </c>
      <c r="C21" s="25" t="s">
        <v>120</v>
      </c>
      <c r="D21" s="25" t="s">
        <v>121</v>
      </c>
      <c r="E21" s="25" t="s">
        <v>120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3"/>
      <c r="AG21" s="4"/>
    </row>
    <row r="22" spans="1:33" x14ac:dyDescent="0.25">
      <c r="A22" s="25" t="s">
        <v>121</v>
      </c>
      <c r="B22" s="25" t="s">
        <v>121</v>
      </c>
      <c r="C22" s="25" t="s">
        <v>120</v>
      </c>
      <c r="D22" s="25" t="s">
        <v>121</v>
      </c>
      <c r="E22" s="25" t="s">
        <v>121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3"/>
      <c r="AG22" s="4"/>
    </row>
    <row r="23" spans="1:33" x14ac:dyDescent="0.25">
      <c r="A23" s="25" t="s">
        <v>121</v>
      </c>
      <c r="B23" s="25" t="s">
        <v>121</v>
      </c>
      <c r="C23" s="25" t="s">
        <v>121</v>
      </c>
      <c r="D23" s="25" t="s">
        <v>120</v>
      </c>
      <c r="E23" s="25" t="s">
        <v>120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3"/>
      <c r="AG23" s="4"/>
    </row>
    <row r="24" spans="1:33" x14ac:dyDescent="0.25">
      <c r="A24" s="21" t="s">
        <v>121</v>
      </c>
      <c r="B24" s="21" t="s">
        <v>121</v>
      </c>
      <c r="C24" s="21" t="s">
        <v>121</v>
      </c>
      <c r="D24" s="21" t="s">
        <v>120</v>
      </c>
      <c r="E24" s="21" t="s">
        <v>121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3"/>
      <c r="AG24" s="4"/>
    </row>
    <row r="25" spans="1:33" x14ac:dyDescent="0.25">
      <c r="A25" s="25" t="s">
        <v>121</v>
      </c>
      <c r="B25" s="25" t="s">
        <v>121</v>
      </c>
      <c r="C25" s="25" t="s">
        <v>121</v>
      </c>
      <c r="D25" s="25" t="s">
        <v>121</v>
      </c>
      <c r="E25" s="25" t="s">
        <v>120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3"/>
      <c r="AG25" s="4"/>
    </row>
    <row r="26" spans="1:33" x14ac:dyDescent="0.25">
      <c r="A26" s="21" t="s">
        <v>121</v>
      </c>
      <c r="B26" s="21" t="s">
        <v>121</v>
      </c>
      <c r="C26" s="21" t="s">
        <v>121</v>
      </c>
      <c r="D26" s="21" t="s">
        <v>121</v>
      </c>
      <c r="E26" s="21" t="s">
        <v>121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3"/>
      <c r="AG26" s="4"/>
    </row>
    <row r="27" spans="1:33" x14ac:dyDescent="0.25">
      <c r="A27" s="6"/>
      <c r="B27" s="6"/>
      <c r="C27" s="13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3"/>
      <c r="AG27" s="4"/>
    </row>
    <row r="28" spans="1:33" x14ac:dyDescent="0.25">
      <c r="A28" s="6"/>
      <c r="B28" s="6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3"/>
      <c r="AG28" s="4"/>
    </row>
    <row r="29" spans="1:33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3"/>
      <c r="AG29" s="4"/>
    </row>
    <row r="30" spans="1:33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3"/>
      <c r="AG30" s="4"/>
    </row>
    <row r="31" spans="1:33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3"/>
      <c r="AG31" s="4"/>
    </row>
    <row r="32" spans="1:33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3"/>
      <c r="AG32" s="4"/>
    </row>
    <row r="33" spans="1:33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3"/>
      <c r="AG33" s="4"/>
    </row>
    <row r="34" spans="1:33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3"/>
      <c r="AG34" s="4"/>
    </row>
    <row r="35" spans="1:33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3"/>
      <c r="AG35" s="4"/>
    </row>
    <row r="36" spans="1:33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3"/>
      <c r="AG36" s="4"/>
    </row>
    <row r="37" spans="1:33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3"/>
      <c r="AG37" s="4"/>
    </row>
    <row r="38" spans="1:33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3"/>
      <c r="AG38" s="4"/>
    </row>
    <row r="39" spans="1:33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3"/>
      <c r="AG39" s="4"/>
    </row>
    <row r="40" spans="1:33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3"/>
      <c r="AG40" s="4"/>
    </row>
    <row r="41" spans="1:33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3"/>
      <c r="AG41" s="4"/>
    </row>
    <row r="42" spans="1:33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3"/>
      <c r="AG42" s="4"/>
    </row>
    <row r="43" spans="1:3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3"/>
      <c r="AG43" s="4"/>
    </row>
    <row r="44" spans="1:3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3"/>
      <c r="AG44" s="4"/>
    </row>
    <row r="45" spans="1:3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3"/>
      <c r="AG45" s="4"/>
    </row>
    <row r="46" spans="1:33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3"/>
      <c r="AG46" s="4"/>
    </row>
    <row r="47" spans="1:33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3"/>
      <c r="AG47" s="4"/>
    </row>
    <row r="48" spans="1:33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3"/>
      <c r="AG48" s="4"/>
    </row>
    <row r="49" spans="1:33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3"/>
      <c r="AG49" s="4"/>
    </row>
    <row r="50" spans="1:33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3"/>
      <c r="AG50" s="4"/>
    </row>
    <row r="51" spans="1:33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3"/>
      <c r="AG51" s="1"/>
    </row>
    <row r="52" spans="1:33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</row>
    <row r="53" spans="1:33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</row>
    <row r="54" spans="1:33" x14ac:dyDescent="0.25">
      <c r="C54" s="14"/>
      <c r="D54" s="14"/>
    </row>
  </sheetData>
  <mergeCells count="5">
    <mergeCell ref="A1:F1"/>
    <mergeCell ref="A2:F2"/>
    <mergeCell ref="A14:E14"/>
    <mergeCell ref="U10:U11"/>
    <mergeCell ref="U8:U9"/>
  </mergeCells>
  <conditionalFormatting sqref="F5:F50">
    <cfRule type="containsText" dxfId="5" priority="5" operator="containsText" text="fail">
      <formula>NOT(ISERROR(SEARCH("fail",F5)))</formula>
    </cfRule>
    <cfRule type="containsText" dxfId="4" priority="6" operator="containsText" text="pass">
      <formula>NOT(ISERROR(SEARCH("pass",F5)))</formula>
    </cfRule>
  </conditionalFormatting>
  <conditionalFormatting sqref="F4">
    <cfRule type="containsText" dxfId="3" priority="3" operator="containsText" text="fail">
      <formula>NOT(ISERROR(SEARCH("fail",F4)))</formula>
    </cfRule>
    <cfRule type="containsText" dxfId="2" priority="4" operator="containsText" text="pass">
      <formula>NOT(ISERROR(SEARCH("pass",F4)))</formula>
    </cfRule>
  </conditionalFormatting>
  <conditionalFormatting sqref="F51:F52">
    <cfRule type="containsText" dxfId="1" priority="1" operator="containsText" text="fail">
      <formula>NOT(ISERROR(SEARCH("fail",F51)))</formula>
    </cfRule>
    <cfRule type="containsText" dxfId="0" priority="2" operator="containsText" text="pass">
      <formula>NOT(ISERROR(SEARCH("pass",F51)))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11266" r:id="rId3" name="CommandButton2"/>
      </mc:Fallback>
    </mc:AlternateContent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5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DD-Path Graph &amp; Instrumentation</vt:lpstr>
      <vt:lpstr>Normal BVT</vt:lpstr>
      <vt:lpstr>Robust BVT</vt:lpstr>
      <vt:lpstr>Worst-Case BVT</vt:lpstr>
      <vt:lpstr>Robust Worst-Case BVT</vt:lpstr>
      <vt:lpstr>Weak Normal ECT</vt:lpstr>
      <vt:lpstr>Strong Normal ECT</vt:lpstr>
      <vt:lpstr>Weak Robust ECT</vt:lpstr>
      <vt:lpstr>Strong Robust ECT</vt:lpstr>
      <vt:lpstr>Decision Table Test</vt:lpstr>
      <vt:lpstr>Special Value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Burke</dc:creator>
  <cp:lastModifiedBy>Rachel Burke</cp:lastModifiedBy>
  <dcterms:created xsi:type="dcterms:W3CDTF">2018-03-12T00:25:10Z</dcterms:created>
  <dcterms:modified xsi:type="dcterms:W3CDTF">2018-03-15T01:08:15Z</dcterms:modified>
</cp:coreProperties>
</file>